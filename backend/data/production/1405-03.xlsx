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🍂\Desktop\"/>
    </mc:Choice>
  </mc:AlternateContent>
  <xr:revisionPtr revIDLastSave="0" documentId="8_{ACC1B638-A053-4C49-9F8B-352BC34713A7}" xr6:coauthVersionLast="47" xr6:coauthVersionMax="47" xr10:uidLastSave="{00000000-0000-0000-0000-000000000000}"/>
  <bookViews>
    <workbookView xWindow="-110" yWindow="-110" windowWidth="19420" windowHeight="11500" firstSheet="2" activeTab="2" xr2:uid="{3EDC3BBE-F82E-4F5D-9365-5236877B5EEB}"/>
  </bookViews>
  <sheets>
    <sheet name="داشبورد" sheetId="11" r:id="rId1"/>
    <sheet name="KPI" sheetId="1" state="hidden" r:id="rId2"/>
    <sheet name="ورودی" sheetId="12" r:id="rId3"/>
    <sheet name="دستگاه 1" sheetId="2" state="hidden" r:id="rId4"/>
    <sheet name="دستگاه 2" sheetId="3" state="hidden" r:id="rId5"/>
    <sheet name="دستگاه3" sheetId="4" state="hidden" r:id="rId6"/>
    <sheet name="دستگاه4" sheetId="5" state="hidden" r:id="rId7"/>
    <sheet name="دستگاه 5" sheetId="6" state="hidden" r:id="rId8"/>
    <sheet name="چاپ" sheetId="7" state="hidden" r:id="rId9"/>
    <sheet name="منابع" sheetId="9" state="hidden" r:id="rId10"/>
    <sheet name="درامد" sheetId="10" state="hidden" r:id="rId11"/>
    <sheet name="مجموع" sheetId="8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C8" i="7"/>
  <c r="C7" i="7"/>
  <c r="C4" i="7"/>
  <c r="C5" i="7"/>
  <c r="C3" i="7"/>
  <c r="C3" i="6"/>
  <c r="C4" i="6"/>
  <c r="C5" i="6"/>
  <c r="C7" i="6"/>
  <c r="C8" i="6"/>
  <c r="C9" i="6"/>
  <c r="C10" i="6"/>
  <c r="C10" i="5"/>
  <c r="C9" i="5"/>
  <c r="C8" i="5"/>
  <c r="C7" i="5"/>
  <c r="C4" i="5"/>
  <c r="C5" i="5"/>
  <c r="C3" i="5"/>
  <c r="F23" i="9" s="1"/>
  <c r="C10" i="4"/>
  <c r="C9" i="4"/>
  <c r="C8" i="4"/>
  <c r="C7" i="4"/>
  <c r="C4" i="4"/>
  <c r="C5" i="4"/>
  <c r="C3" i="4"/>
  <c r="C10" i="3"/>
  <c r="C9" i="3"/>
  <c r="C8" i="3"/>
  <c r="C7" i="3"/>
  <c r="C4" i="3"/>
  <c r="D22" i="1" s="1"/>
  <c r="C5" i="3"/>
  <c r="C3" i="3"/>
  <c r="C5" i="10"/>
  <c r="C6" i="10"/>
  <c r="C7" i="10"/>
  <c r="E7" i="10" s="1"/>
  <c r="C4" i="10"/>
  <c r="C4" i="9"/>
  <c r="C5" i="9"/>
  <c r="C6" i="9"/>
  <c r="C7" i="9"/>
  <c r="C8" i="9"/>
  <c r="C9" i="9"/>
  <c r="C10" i="9"/>
  <c r="C3" i="9"/>
  <c r="C10" i="2"/>
  <c r="C9" i="2"/>
  <c r="C3" i="2"/>
  <c r="C4" i="2"/>
  <c r="C5" i="2"/>
  <c r="C7" i="2"/>
  <c r="C8" i="2"/>
  <c r="F16" i="10"/>
  <c r="F23" i="1"/>
  <c r="F24" i="1" s="1"/>
  <c r="E9" i="1"/>
  <c r="C5" i="1"/>
  <c r="F5" i="1" s="1"/>
  <c r="D15" i="8"/>
  <c r="D12" i="8"/>
  <c r="E3" i="1"/>
  <c r="D4" i="8"/>
  <c r="E4" i="8"/>
  <c r="D5" i="8"/>
  <c r="E5" i="8"/>
  <c r="D6" i="8"/>
  <c r="E6" i="8"/>
  <c r="D7" i="8"/>
  <c r="E7" i="8"/>
  <c r="D8" i="8"/>
  <c r="E8" i="8"/>
  <c r="D9" i="8"/>
  <c r="E9" i="8"/>
  <c r="D3" i="8"/>
  <c r="E3" i="8"/>
  <c r="C6" i="6" l="1"/>
  <c r="C5" i="8"/>
  <c r="C6" i="7"/>
  <c r="G23" i="1"/>
  <c r="G24" i="1" s="1"/>
  <c r="G16" i="10"/>
  <c r="G23" i="9"/>
  <c r="G22" i="9"/>
  <c r="G24" i="9" s="1"/>
  <c r="G15" i="10"/>
  <c r="G22" i="1"/>
  <c r="F22" i="9"/>
  <c r="F24" i="9" s="1"/>
  <c r="F15" i="10"/>
  <c r="F17" i="10" s="1"/>
  <c r="F22" i="1"/>
  <c r="F25" i="1" s="1"/>
  <c r="C6" i="5"/>
  <c r="E23" i="9"/>
  <c r="E16" i="10"/>
  <c r="E23" i="1"/>
  <c r="E24" i="1" s="1"/>
  <c r="C9" i="8"/>
  <c r="C6" i="4"/>
  <c r="C6" i="8"/>
  <c r="E22" i="9"/>
  <c r="E24" i="9" s="1"/>
  <c r="E15" i="10"/>
  <c r="E17" i="10" s="1"/>
  <c r="E22" i="1"/>
  <c r="E25" i="1" s="1"/>
  <c r="D22" i="9"/>
  <c r="D15" i="10"/>
  <c r="C6" i="3"/>
  <c r="C7" i="8"/>
  <c r="C8" i="8"/>
  <c r="C6" i="2"/>
  <c r="C23" i="9"/>
  <c r="C16" i="10"/>
  <c r="C23" i="1"/>
  <c r="C24" i="1" s="1"/>
  <c r="G4" i="10"/>
  <c r="E4" i="10"/>
  <c r="G5" i="10"/>
  <c r="E5" i="10"/>
  <c r="G6" i="10"/>
  <c r="E6" i="10"/>
  <c r="D4" i="9"/>
  <c r="J43" i="11" s="1"/>
  <c r="C4" i="8"/>
  <c r="C22" i="9"/>
  <c r="C15" i="10"/>
  <c r="C22" i="1"/>
  <c r="G17" i="10" l="1"/>
  <c r="G25" i="1"/>
  <c r="C24" i="9"/>
  <c r="C17" i="10"/>
  <c r="C25" i="1"/>
  <c r="C3" i="1"/>
  <c r="C11" i="1"/>
  <c r="C9" i="1"/>
  <c r="G9" i="1" s="1"/>
  <c r="E8" i="10"/>
  <c r="G8" i="10"/>
  <c r="C13" i="1"/>
  <c r="C19" i="9"/>
  <c r="E13" i="1"/>
  <c r="C12" i="10"/>
  <c r="G13" i="1" l="1"/>
  <c r="C18" i="9"/>
  <c r="C11" i="10"/>
  <c r="C15" i="1"/>
  <c r="G15" i="1" s="1"/>
  <c r="J42" i="11"/>
  <c r="C3" i="8" l="1"/>
  <c r="D23" i="9"/>
  <c r="D24" i="9" s="1"/>
  <c r="D16" i="10"/>
  <c r="D17" i="10" s="1"/>
  <c r="D23" i="1"/>
  <c r="D24" i="1" s="1"/>
  <c r="D25" i="1" l="1"/>
  <c r="C7" i="1"/>
  <c r="D13" i="1"/>
  <c r="D3" i="1"/>
  <c r="F3" i="1" s="1"/>
  <c r="D9" i="1"/>
  <c r="F9" i="1" s="1"/>
  <c r="G3" i="1"/>
  <c r="G16" i="1" s="1"/>
</calcChain>
</file>

<file path=xl/sharedStrings.xml><?xml version="1.0" encoding="utf-8"?>
<sst xmlns="http://schemas.openxmlformats.org/spreadsheetml/2006/main" count="189" uniqueCount="88">
  <si>
    <t>تعداد شیفت</t>
  </si>
  <si>
    <t>دستگاه</t>
  </si>
  <si>
    <t>چاپ</t>
  </si>
  <si>
    <t>تعداد تولید واقعی بر اساس شاخص</t>
  </si>
  <si>
    <t>میزان ضایعات</t>
  </si>
  <si>
    <t>تعداد ساعت خواب دستگاه</t>
  </si>
  <si>
    <t>تعداد تعمیری</t>
  </si>
  <si>
    <t>متراژ واقعی چاپ</t>
  </si>
  <si>
    <t>میزان ضایعات چاپ</t>
  </si>
  <si>
    <t>تعداد ساعت خواب دستگاه چاپ</t>
  </si>
  <si>
    <t>تعداد کل نیروی انسانی</t>
  </si>
  <si>
    <t xml:space="preserve">هزینه تولید </t>
  </si>
  <si>
    <t xml:space="preserve">هزینه اجاره </t>
  </si>
  <si>
    <t>هزینه تعمیرات و نگهداری</t>
  </si>
  <si>
    <t>هزینه اب برق گاز تلفن اینترنت</t>
  </si>
  <si>
    <t>سایر</t>
  </si>
  <si>
    <t>هزینه حقوق</t>
  </si>
  <si>
    <t>هزینه حمل</t>
  </si>
  <si>
    <t>بهره وری تولید</t>
  </si>
  <si>
    <t>نرخ ضایعات</t>
  </si>
  <si>
    <t>نرخ توقف خط تولید</t>
  </si>
  <si>
    <t>بهره وری نیروی انسانی</t>
  </si>
  <si>
    <t>نرخ تولید بدون نقص</t>
  </si>
  <si>
    <t>هزینه تولید به ازای هر رول</t>
  </si>
  <si>
    <t>تولید  بر اساس عملکرد مطلوب  هر دستگاه هر شیفت</t>
  </si>
  <si>
    <t xml:space="preserve">واقعی </t>
  </si>
  <si>
    <t xml:space="preserve">مطلوب </t>
  </si>
  <si>
    <t>انحراف</t>
  </si>
  <si>
    <t>ایده ال</t>
  </si>
  <si>
    <t>وزن کاغذ مصرف</t>
  </si>
  <si>
    <t>وزن محصول تولیدی</t>
  </si>
  <si>
    <t>وزن کاغذ مصرفی</t>
  </si>
  <si>
    <t xml:space="preserve">وزن کاغذ چاپی </t>
  </si>
  <si>
    <t>درصد بهره وری</t>
  </si>
  <si>
    <t xml:space="preserve">تعداد ساعت خواب دستگاه به خاطر عدم کار </t>
  </si>
  <si>
    <t>تعداد ساعت خواب دستگاه به خاطر خرابی</t>
  </si>
  <si>
    <t>تعداد ساعت خواب دستگاه به خاطر تغییر سایز</t>
  </si>
  <si>
    <t>تعداد ساعت خواب دستگاه به خاطر تغییرچاپ</t>
  </si>
  <si>
    <t>نرخ بازدهی مالی</t>
  </si>
  <si>
    <t>تعدا تولید57</t>
  </si>
  <si>
    <t>تعدا تولید79</t>
  </si>
  <si>
    <t>تعدا تولیدرسید</t>
  </si>
  <si>
    <t>تعداد رول</t>
  </si>
  <si>
    <t>اجرت</t>
  </si>
  <si>
    <t>جمع کل</t>
  </si>
  <si>
    <t>تعداد  کل شیفت</t>
  </si>
  <si>
    <t>*****</t>
  </si>
  <si>
    <t>ساعت کاری هر شیفت</t>
  </si>
  <si>
    <t>تعداد نیروی فول سیستم</t>
  </si>
  <si>
    <t>****</t>
  </si>
  <si>
    <t xml:space="preserve">میزان ضایعات </t>
  </si>
  <si>
    <t>شاخص</t>
  </si>
  <si>
    <t>درامد</t>
  </si>
  <si>
    <t>هزینه</t>
  </si>
  <si>
    <t>تولید</t>
  </si>
  <si>
    <t>برش 1</t>
  </si>
  <si>
    <t>برش 2</t>
  </si>
  <si>
    <t>برش 3</t>
  </si>
  <si>
    <t>برش 4</t>
  </si>
  <si>
    <t>برش 5</t>
  </si>
  <si>
    <t>تعداد شیفت فعال</t>
  </si>
  <si>
    <t>میانگین تولید در شیفت</t>
  </si>
  <si>
    <t>تعداد شیفت غیرفعال</t>
  </si>
  <si>
    <t>تولید بر اساس شاخص</t>
  </si>
  <si>
    <t>ضایعات به درصد</t>
  </si>
  <si>
    <t>تعداد تعمیری بر اساس شاخص</t>
  </si>
  <si>
    <t>خواب دستگاه به خاطر خرابی بر اساس شیفت</t>
  </si>
  <si>
    <t>خواب دستگاه به خاطرتغییر سایز بر اساس شیفت</t>
  </si>
  <si>
    <t>خواب دستگاه به خاطر عدم کاراساس شیفت</t>
  </si>
  <si>
    <t xml:space="preserve">ضایعات  به در صد </t>
  </si>
  <si>
    <t>متراژ چاپ به متر مربع</t>
  </si>
  <si>
    <t>تک  رنگ</t>
  </si>
  <si>
    <t>دو رنگ</t>
  </si>
  <si>
    <t>سه رنگ</t>
  </si>
  <si>
    <t>چهار رنگ</t>
  </si>
  <si>
    <t>مجموع</t>
  </si>
  <si>
    <t>چاپ متر</t>
  </si>
  <si>
    <t>-</t>
  </si>
  <si>
    <t>شامل آب آشامیدنی</t>
  </si>
  <si>
    <t>صبحانه-ناهار-مصرفی فروشگاهی</t>
  </si>
  <si>
    <t>بجز مهمانان</t>
  </si>
  <si>
    <t>هزینه ورودی و خروجی و باسکول و اداری پیام</t>
  </si>
  <si>
    <t>شامل اقلام فنی نمیشود</t>
  </si>
  <si>
    <t>عدم وجود سفارش</t>
  </si>
  <si>
    <t>شامل 0/5 شیفت تغییر سایز</t>
  </si>
  <si>
    <t>ضایعات در فرایند برش بدست می اید</t>
  </si>
  <si>
    <t>نفر روز- 2 جمعه- 1 روز تعطیل رسمی- 2 قطعی برق</t>
  </si>
  <si>
    <t>طبق اخرین ویرایش حذف 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</si>
</sst>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-_ ;_ * #,##0.00\-_ ;_ * &quot;-&quot;??_-_ ;_ @_ "/>
    <numFmt numFmtId="164" formatCode="_ * #,##0_-_ ;_ * #,##0\-_ ;_ * &quot;-&quot;??_-_ ;_ @_ "/>
    <numFmt numFmtId="165" formatCode="0.000"/>
    <numFmt numFmtId="166" formatCode="_ * #,##0.00_-_ر_ي_ا_ل_ ;_ * #,##0.00\-_ر_ي_ا_ل_ ;_ * &quot;-&quot;??_-_ر_ي_ا_ل_ ;_ @_ "/>
  </numFmts>
  <fonts count="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b/>
      <sz val="12"/>
      <color theme="1"/>
      <name val="0 Badr Bold"/>
      <charset val="178"/>
    </font>
    <font>
      <sz val="11"/>
      <color theme="1"/>
      <name val="0 Badr Bold"/>
      <charset val="178"/>
    </font>
    <font>
      <sz val="16"/>
      <color theme="1"/>
      <name val="Calibri"/>
      <family val="2"/>
      <charset val="178"/>
      <scheme val="minor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5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3" borderId="5" xfId="1" applyNumberFormat="1" applyFont="1" applyFill="1" applyBorder="1" applyAlignment="1">
      <alignment horizontal="center" vertical="center"/>
    </xf>
    <xf numFmtId="164" fontId="0" fillId="4" borderId="5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6" xfId="0" applyNumberFormat="1" applyBorder="1"/>
    <xf numFmtId="164" fontId="0" fillId="0" borderId="7" xfId="1" applyNumberFormat="1" applyFont="1" applyBorder="1" applyAlignment="1">
      <alignment horizontal="center" vertical="center"/>
    </xf>
    <xf numFmtId="164" fontId="0" fillId="0" borderId="9" xfId="0" applyNumberFormat="1" applyBorder="1"/>
    <xf numFmtId="164" fontId="0" fillId="5" borderId="5" xfId="1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64" fontId="4" fillId="3" borderId="5" xfId="1" applyNumberFormat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3" fontId="4" fillId="3" borderId="5" xfId="1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3" borderId="8" xfId="0" applyFont="1" applyFill="1" applyBorder="1"/>
    <xf numFmtId="0" fontId="4" fillId="4" borderId="8" xfId="0" applyFont="1" applyFill="1" applyBorder="1"/>
    <xf numFmtId="0" fontId="5" fillId="0" borderId="0" xfId="0" applyFont="1"/>
    <xf numFmtId="0" fontId="6" fillId="0" borderId="0" xfId="0" applyFont="1"/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4" fillId="6" borderId="5" xfId="1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4" fontId="4" fillId="6" borderId="5" xfId="2" applyNumberFormat="1" applyFont="1" applyFill="1" applyBorder="1" applyAlignment="1">
      <alignment horizontal="center" vertical="center"/>
    </xf>
    <xf numFmtId="43" fontId="4" fillId="4" borderId="5" xfId="1" applyFont="1" applyFill="1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center" vertical="center"/>
    </xf>
    <xf numFmtId="165" fontId="4" fillId="6" borderId="5" xfId="0" applyNumberFormat="1" applyFont="1" applyFill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/>
    </xf>
    <xf numFmtId="164" fontId="4" fillId="6" borderId="8" xfId="1" applyNumberFormat="1" applyFont="1" applyFill="1" applyBorder="1" applyAlignment="1">
      <alignment horizontal="center" vertical="center"/>
    </xf>
    <xf numFmtId="43" fontId="4" fillId="0" borderId="9" xfId="1" applyFont="1" applyBorder="1" applyAlignment="1">
      <alignment horizontal="center" vertical="center"/>
    </xf>
    <xf numFmtId="164" fontId="4" fillId="7" borderId="5" xfId="1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4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1" xfId="0" applyBorder="1"/>
    <xf numFmtId="0" fontId="0" fillId="0" borderId="4" xfId="0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6" fontId="5" fillId="0" borderId="0" xfId="0" applyNumberFormat="1" applyFont="1"/>
    <xf numFmtId="43" fontId="0" fillId="0" borderId="6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3" borderId="1" xfId="1" applyFont="1" applyFill="1" applyBorder="1"/>
    <xf numFmtId="43" fontId="0" fillId="3" borderId="2" xfId="1" applyFont="1" applyFill="1" applyBorder="1"/>
    <xf numFmtId="43" fontId="0" fillId="3" borderId="3" xfId="1" applyFont="1" applyFill="1" applyBorder="1"/>
    <xf numFmtId="43" fontId="0" fillId="3" borderId="4" xfId="1" applyFont="1" applyFill="1" applyBorder="1"/>
    <xf numFmtId="43" fontId="0" fillId="3" borderId="7" xfId="1" applyFont="1" applyFill="1" applyBorder="1"/>
    <xf numFmtId="43" fontId="0" fillId="4" borderId="5" xfId="1" applyFont="1" applyFill="1" applyBorder="1" applyAlignment="1">
      <alignment horizontal="center" vertical="center"/>
    </xf>
    <xf numFmtId="43" fontId="0" fillId="4" borderId="8" xfId="1" applyFont="1" applyFill="1" applyBorder="1" applyAlignment="1">
      <alignment horizontal="center" vertical="center"/>
    </xf>
    <xf numFmtId="43" fontId="0" fillId="3" borderId="5" xfId="1" applyFont="1" applyFill="1" applyBorder="1" applyAlignment="1">
      <alignment horizontal="center" vertical="center"/>
    </xf>
    <xf numFmtId="43" fontId="0" fillId="3" borderId="8" xfId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43" fontId="0" fillId="2" borderId="5" xfId="1" applyFon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164" fontId="0" fillId="2" borderId="1" xfId="1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7" xfId="1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8" xfId="0" applyFill="1" applyBorder="1"/>
    <xf numFmtId="0" fontId="0" fillId="8" borderId="19" xfId="0" applyFill="1" applyBorder="1"/>
    <xf numFmtId="0" fontId="0" fillId="8" borderId="5" xfId="0" applyFill="1" applyBorder="1"/>
    <xf numFmtId="0" fontId="0" fillId="8" borderId="8" xfId="0" applyFill="1" applyBorder="1"/>
    <xf numFmtId="0" fontId="0" fillId="3" borderId="20" xfId="0" applyFill="1" applyBorder="1" applyAlignment="1">
      <alignment horizontal="center"/>
    </xf>
    <xf numFmtId="164" fontId="0" fillId="3" borderId="6" xfId="1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0" fillId="8" borderId="5" xfId="1" applyNumberFormat="1" applyFont="1" applyFill="1" applyBorder="1"/>
    <xf numFmtId="0" fontId="0" fillId="8" borderId="3" xfId="0" applyFill="1" applyBorder="1" applyAlignment="1">
      <alignment horizontal="center"/>
    </xf>
    <xf numFmtId="164" fontId="0" fillId="8" borderId="6" xfId="1" applyNumberFormat="1" applyFont="1" applyFill="1" applyBorder="1" applyAlignment="1">
      <alignment horizontal="center"/>
    </xf>
    <xf numFmtId="164" fontId="0" fillId="8" borderId="9" xfId="1" applyNumberFormat="1" applyFont="1" applyFill="1" applyBorder="1" applyAlignment="1">
      <alignment horizontal="center"/>
    </xf>
    <xf numFmtId="164" fontId="0" fillId="8" borderId="6" xfId="1" applyNumberFormat="1" applyFont="1" applyFill="1" applyBorder="1" applyAlignment="1">
      <alignment horizontal="center" vertical="center"/>
    </xf>
    <xf numFmtId="164" fontId="0" fillId="8" borderId="9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horizontal="center" vertical="center"/>
    </xf>
    <xf numFmtId="164" fontId="0" fillId="3" borderId="9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10" xfId="1" applyNumberFormat="1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8" xfId="1" applyNumberFormat="1" applyFont="1" applyBorder="1" applyAlignment="1">
      <alignment vertical="center"/>
    </xf>
    <xf numFmtId="164" fontId="0" fillId="0" borderId="9" xfId="1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66"/>
      <color rgb="FF66FF66"/>
      <color rgb="FF6699FF"/>
      <color rgb="FFFF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78937007874016"/>
          <c:y val="0.11620370370370373"/>
          <c:w val="0.88054396325459316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KPI!$B$5</c:f>
              <c:strCache>
                <c:ptCount val="1"/>
                <c:pt idx="0">
                  <c:v>نرخ ضایعات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D0-4A03-97A4-CAF795673B23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D0-4A03-97A4-CAF795673B23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KPI!$C$5:$E$5</c:f>
              <c:numCache>
                <c:formatCode>_(* #,##0.00_);_(* \(#,##0.00\);_(* "-"??_);_(@_)</c:formatCode>
                <c:ptCount val="3"/>
                <c:pt idx="0" formatCode="#,##0.00">
                  <c:v>0.99000202020202022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D0-4A03-97A4-CAF795673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836984"/>
        <c:axId val="717842744"/>
      </c:barChart>
      <c:catAx>
        <c:axId val="71783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2744"/>
        <c:crosses val="autoZero"/>
        <c:auto val="1"/>
        <c:lblAlgn val="ctr"/>
        <c:lblOffset val="100"/>
        <c:noMultiLvlLbl val="0"/>
      </c:catAx>
      <c:valAx>
        <c:axId val="71784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3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سود</a:t>
            </a:r>
            <a:r>
              <a:rPr lang="fa-IR" baseline="0"/>
              <a:t> و زیان</a:t>
            </a:r>
            <a:endParaRPr lang="fa-I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a-I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داشبورد!$I$42</c:f>
              <c:strCache>
                <c:ptCount val="1"/>
                <c:pt idx="0">
                  <c:v>درامد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val>
            <c:numRef>
              <c:f>داشبورد!$J$42:$K$42</c:f>
              <c:numCache>
                <c:formatCode>_ * #,##0_-_ ;_ * #,##0\-_ ;_ * "-"??_-_ ;_ @_ </c:formatCode>
                <c:ptCount val="2"/>
                <c:pt idx="0">
                  <c:v>5521716000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3-44EB-9BD8-53773CAAA2A1}"/>
            </c:ext>
          </c:extLst>
        </c:ser>
        <c:ser>
          <c:idx val="1"/>
          <c:order val="1"/>
          <c:tx>
            <c:strRef>
              <c:f>داشبورد!$I$43</c:f>
              <c:strCache>
                <c:ptCount val="1"/>
                <c:pt idx="0">
                  <c:v>هزینه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val>
            <c:numRef>
              <c:f>داشبورد!$J$43:$K$43</c:f>
              <c:numCache>
                <c:formatCode>_ * #,##0_-_ ;_ * #,##0\-_ ;_ * "-"??_-_ ;_ @_ </c:formatCode>
                <c:ptCount val="2"/>
                <c:pt idx="0">
                  <c:v>3914000000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3-44EB-9BD8-53773CAAA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7830864"/>
        <c:axId val="717826184"/>
      </c:barChart>
      <c:catAx>
        <c:axId val="71783086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26184"/>
        <c:crosses val="autoZero"/>
        <c:auto val="1"/>
        <c:lblAlgn val="ctr"/>
        <c:lblOffset val="100"/>
        <c:noMultiLvlLbl val="0"/>
      </c:catAx>
      <c:valAx>
        <c:axId val="7178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3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715078470591548"/>
          <c:y val="0.84673279612381913"/>
          <c:w val="7.021046850708737E-2"/>
          <c:h val="0.113066177642109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عملکرد دستگاهها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KPI!$B$23</c:f>
              <c:strCache>
                <c:ptCount val="1"/>
                <c:pt idx="0">
                  <c:v>تعداد شیفت فعال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KPI!$C$23:$G$23</c:f>
              <c:numCache>
                <c:formatCode>_ * #,##0_-_ ;_ * #,##0\-_ ;_ * "-"??_-_ ;_ @_ </c:formatCode>
                <c:ptCount val="5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8-42F3-86C1-416F67E926FF}"/>
            </c:ext>
          </c:extLst>
        </c:ser>
        <c:ser>
          <c:idx val="1"/>
          <c:order val="1"/>
          <c:tx>
            <c:strRef>
              <c:f>KPI!$B$24</c:f>
              <c:strCache>
                <c:ptCount val="1"/>
                <c:pt idx="0">
                  <c:v>تعداد شیفت غیرفعال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KPI!$C$24:$G$24</c:f>
              <c:numCache>
                <c:formatCode>_ * #,##0_-_ ;_ * #,##0\-_ ;_ * "-"??_-_ ;_ @_ </c:formatCode>
                <c:ptCount val="5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8-42F3-86C1-416F67E92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9957032"/>
        <c:axId val="549956672"/>
      </c:barChart>
      <c:catAx>
        <c:axId val="54995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56672"/>
        <c:crosses val="autoZero"/>
        <c:auto val="1"/>
        <c:lblAlgn val="ctr"/>
        <c:lblOffset val="100"/>
        <c:noMultiLvlLbl val="0"/>
      </c:catAx>
      <c:valAx>
        <c:axId val="5499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5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33136482939634"/>
          <c:y val="0.16712962962962963"/>
          <c:w val="0.84166863517060364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KPI!$B$25</c:f>
              <c:strCache>
                <c:ptCount val="1"/>
                <c:pt idx="0">
                  <c:v>میانگین تولید در شیفت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KPI!$C$25:$G$25</c:f>
              <c:numCache>
                <c:formatCode>_ * #,##0_-_ ;_ * #,##0\-_ ;_ * "-"??_-_ ;_ @_ </c:formatCode>
                <c:ptCount val="5"/>
                <c:pt idx="0">
                  <c:v>18212.72</c:v>
                </c:pt>
                <c:pt idx="1">
                  <c:v>7931.8846153846152</c:v>
                </c:pt>
                <c:pt idx="2">
                  <c:v>14236.185185185184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D-4E36-BA9F-2DA8C0990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86256"/>
        <c:axId val="705793816"/>
      </c:barChart>
      <c:catAx>
        <c:axId val="7057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3816"/>
        <c:crosses val="autoZero"/>
        <c:auto val="1"/>
        <c:lblAlgn val="ctr"/>
        <c:lblOffset val="100"/>
        <c:noMultiLvlLbl val="0"/>
      </c:catAx>
      <c:valAx>
        <c:axId val="70579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99803149606299"/>
          <c:y val="0.14861111111111111"/>
          <c:w val="0.82900196850393704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KPI!$B$22</c:f>
              <c:strCache>
                <c:ptCount val="1"/>
                <c:pt idx="0">
                  <c:v>تولید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KPI!$C$22:$G$22</c:f>
              <c:numCache>
                <c:formatCode>_ * #,##0_-_ ;_ * #,##0\-_ ;_ * "-"??_-_ ;_ @_ </c:formatCode>
                <c:ptCount val="5"/>
                <c:pt idx="0">
                  <c:v>455318</c:v>
                </c:pt>
                <c:pt idx="1">
                  <c:v>206229</c:v>
                </c:pt>
                <c:pt idx="2">
                  <c:v>384377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9-4321-AB64-F469F41B3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846344"/>
        <c:axId val="717850664"/>
      </c:barChart>
      <c:catAx>
        <c:axId val="71784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50664"/>
        <c:crosses val="autoZero"/>
        <c:auto val="1"/>
        <c:lblAlgn val="ctr"/>
        <c:lblOffset val="100"/>
        <c:noMultiLvlLbl val="0"/>
      </c:catAx>
      <c:valAx>
        <c:axId val="71785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بهره وری تولید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B3-4C96-9510-6E5FA1B17837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B3-4C96-9510-6E5FA1B17837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KPI!$C$3:$E$3</c:f>
              <c:numCache>
                <c:formatCode>_ * #,##0_-_ ;_ * #,##0\-_ ;_ * "-"??_-_ ;_ @_ </c:formatCode>
                <c:ptCount val="3"/>
                <c:pt idx="0">
                  <c:v>1045924</c:v>
                </c:pt>
                <c:pt idx="1">
                  <c:v>1248000</c:v>
                </c:pt>
                <c:pt idx="2">
                  <c:v>2480000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B3-4C96-9510-6E5FA1B17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95256"/>
        <c:axId val="717536232"/>
      </c:barChart>
      <c:catAx>
        <c:axId val="70579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6232"/>
        <c:crosses val="autoZero"/>
        <c:auto val="1"/>
        <c:lblAlgn val="ctr"/>
        <c:lblOffset val="100"/>
        <c:noMultiLvlLbl val="0"/>
      </c:catAx>
      <c:valAx>
        <c:axId val="71753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KPI!$B$9</c:f>
              <c:strCache>
                <c:ptCount val="1"/>
                <c:pt idx="0">
                  <c:v>بهره وری نیروی انسانی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6-47A2-8835-4F0775AA5697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B6-47A2-8835-4F0775AA5697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KPI!$C$9:$E$9</c:f>
              <c:numCache>
                <c:formatCode>0.00</c:formatCode>
                <c:ptCount val="3"/>
                <c:pt idx="0">
                  <c:v>213.6282679738562</c:v>
                </c:pt>
                <c:pt idx="1">
                  <c:v>254.90196078431373</c:v>
                </c:pt>
                <c:pt idx="2">
                  <c:v>7272.727272727273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B6-47A2-8835-4F0775AA5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532992"/>
        <c:axId val="717533712"/>
      </c:barChart>
      <c:catAx>
        <c:axId val="7175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3712"/>
        <c:crosses val="autoZero"/>
        <c:auto val="1"/>
        <c:lblAlgn val="ctr"/>
        <c:lblOffset val="100"/>
        <c:noMultiLvlLbl val="0"/>
      </c:catAx>
      <c:valAx>
        <c:axId val="7175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KPI!$B$13</c:f>
              <c:strCache>
                <c:ptCount val="1"/>
                <c:pt idx="0">
                  <c:v>هزینه تولید به ازای هر رول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20-4471-AF48-22D88FBDA8ED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20-4471-AF48-22D88FBDA8ED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KPI!$C$13:$E$13</c:f>
              <c:numCache>
                <c:formatCode>0.000</c:formatCode>
                <c:ptCount val="3"/>
                <c:pt idx="0">
                  <c:v>3742.1457008348598</c:v>
                </c:pt>
                <c:pt idx="1">
                  <c:v>3136.2179487179487</c:v>
                </c:pt>
                <c:pt idx="2">
                  <c:v>2038.5416666666667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20-4471-AF48-22D88FBDA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305200"/>
        <c:axId val="718305920"/>
      </c:barChart>
      <c:catAx>
        <c:axId val="7183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920"/>
        <c:crosses val="autoZero"/>
        <c:auto val="1"/>
        <c:lblAlgn val="ctr"/>
        <c:lblOffset val="100"/>
        <c:noMultiLvlLbl val="0"/>
      </c:catAx>
      <c:valAx>
        <c:axId val="7183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KPI!$G$2</c:f>
              <c:strCache>
                <c:ptCount val="1"/>
                <c:pt idx="0">
                  <c:v>درصد بهره وری</c:v>
                </c:pt>
              </c:strCache>
            </c:strRef>
          </c:tx>
          <c:spPr>
            <a:solidFill>
              <a:srgbClr val="6699FF"/>
            </a:solidFill>
          </c:spPr>
          <c:dPt>
            <c:idx val="0"/>
            <c:bubble3D val="0"/>
            <c:spPr>
              <a:solidFill>
                <a:srgbClr val="6699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03-46C6-8F4B-89183CF4D44B}"/>
              </c:ext>
            </c:extLst>
          </c:dPt>
          <c:dPt>
            <c:idx val="1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03-46C6-8F4B-89183CF4D44B}"/>
              </c:ext>
            </c:extLst>
          </c:dPt>
          <c:dLbls>
            <c:delete val="1"/>
          </c:dLbls>
          <c:val>
            <c:numRef>
              <c:f>(KPI!$G$3,KPI!$G$16)</c:f>
              <c:numCache>
                <c:formatCode>_ * #,##0.00_-_ر_ي_ا_ل_ ;_ * #,##0.00\-_ر_ي_ا_ل_ ;_ * "-"??_-_ر_ي_ا_ل_ ;_ @_ </c:formatCode>
                <c:ptCount val="2"/>
                <c:pt idx="0" formatCode="_(* #,##0.00_);_(* \(#,##0.00\);_(* &quot;-&quot;??_);_(@_)">
                  <c:v>65.370249999999999</c:v>
                </c:pt>
                <c:pt idx="1">
                  <c:v>34.629750000000001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03-46C6-8F4B-89183CF4D44B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بهره وری تولید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45-4431-AEAE-DA839FDF0498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45-4431-AEAE-DA839FDF0498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KPI!$C$3:$E$3</c:f>
              <c:numCache>
                <c:formatCode>_ * #,##0_-_ ;_ * #,##0\-_ ;_ * "-"??_-_ ;_ @_ </c:formatCode>
                <c:ptCount val="3"/>
                <c:pt idx="0">
                  <c:v>1045924</c:v>
                </c:pt>
                <c:pt idx="1">
                  <c:v>1248000</c:v>
                </c:pt>
                <c:pt idx="2">
                  <c:v>2480000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5-4431-AEAE-DA839FDF0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95256"/>
        <c:axId val="717536232"/>
      </c:barChart>
      <c:catAx>
        <c:axId val="70579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6232"/>
        <c:crosses val="autoZero"/>
        <c:auto val="1"/>
        <c:lblAlgn val="ctr"/>
        <c:lblOffset val="100"/>
        <c:noMultiLvlLbl val="0"/>
      </c:catAx>
      <c:valAx>
        <c:axId val="71753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KPI!$B$9</c:f>
              <c:strCache>
                <c:ptCount val="1"/>
                <c:pt idx="0">
                  <c:v>بهره وری نیروی انسانی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D6-45AD-932B-72815A7464B6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D6-45AD-932B-72815A7464B6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KPI!$C$9:$E$9</c:f>
              <c:numCache>
                <c:formatCode>0.00</c:formatCode>
                <c:ptCount val="3"/>
                <c:pt idx="0">
                  <c:v>213.6282679738562</c:v>
                </c:pt>
                <c:pt idx="1">
                  <c:v>254.90196078431373</c:v>
                </c:pt>
                <c:pt idx="2">
                  <c:v>7272.727272727273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6-45AD-932B-72815A746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532992"/>
        <c:axId val="717533712"/>
      </c:barChart>
      <c:catAx>
        <c:axId val="7175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3712"/>
        <c:crosses val="autoZero"/>
        <c:auto val="1"/>
        <c:lblAlgn val="ctr"/>
        <c:lblOffset val="100"/>
        <c:noMultiLvlLbl val="0"/>
      </c:catAx>
      <c:valAx>
        <c:axId val="7175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KPI!$B$13</c:f>
              <c:strCache>
                <c:ptCount val="1"/>
                <c:pt idx="0">
                  <c:v>هزینه تولید به ازای هر رول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85B-479F-A16E-8B04A48A3D1E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5B-479F-A16E-8B04A48A3D1E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KPI!$C$13:$E$13</c:f>
              <c:numCache>
                <c:formatCode>0.000</c:formatCode>
                <c:ptCount val="3"/>
                <c:pt idx="0">
                  <c:v>3742.1457008348598</c:v>
                </c:pt>
                <c:pt idx="1">
                  <c:v>3136.2179487179487</c:v>
                </c:pt>
                <c:pt idx="2">
                  <c:v>2038.5416666666667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B-479F-A16E-8B04A48A3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305200"/>
        <c:axId val="718305920"/>
      </c:barChart>
      <c:catAx>
        <c:axId val="7183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920"/>
        <c:crosses val="autoZero"/>
        <c:auto val="1"/>
        <c:lblAlgn val="ctr"/>
        <c:lblOffset val="100"/>
        <c:noMultiLvlLbl val="0"/>
      </c:catAx>
      <c:valAx>
        <c:axId val="7183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78937007874016"/>
          <c:y val="0.11620370370370373"/>
          <c:w val="0.88054396325459316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KPI!$B$5</c:f>
              <c:strCache>
                <c:ptCount val="1"/>
                <c:pt idx="0">
                  <c:v>نرخ ضایعات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8A-4C50-A3A7-BB7CD502A406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8A-4C50-A3A7-BB7CD502A406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KPI!$C$5:$E$5</c:f>
              <c:numCache>
                <c:formatCode>_(* #,##0.00_);_(* \(#,##0.00\);_(* "-"??_);_(@_)</c:formatCode>
                <c:ptCount val="3"/>
                <c:pt idx="0" formatCode="#,##0.00">
                  <c:v>0.99000202020202022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A-4C50-A3A7-BB7CD502A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836984"/>
        <c:axId val="717842744"/>
      </c:barChart>
      <c:catAx>
        <c:axId val="71783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2744"/>
        <c:crosses val="autoZero"/>
        <c:auto val="1"/>
        <c:lblAlgn val="ctr"/>
        <c:lblOffset val="100"/>
        <c:noMultiLvlLbl val="0"/>
      </c:catAx>
      <c:valAx>
        <c:axId val="71784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3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/>
              <a:t>سود</a:t>
            </a:r>
            <a:r>
              <a:rPr lang="fa-IR" baseline="0"/>
              <a:t> و زیان</a:t>
            </a:r>
            <a:endParaRPr lang="fa-I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a-I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داشبورد!$I$42</c:f>
              <c:strCache>
                <c:ptCount val="1"/>
                <c:pt idx="0">
                  <c:v>درامد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val>
            <c:numRef>
              <c:f>داشبورد!$J$42:$K$42</c:f>
              <c:numCache>
                <c:formatCode>_ * #,##0_-_ ;_ * #,##0\-_ ;_ * "-"??_-_ ;_ @_ </c:formatCode>
                <c:ptCount val="2"/>
                <c:pt idx="0">
                  <c:v>5521716000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A-4FE0-B3FC-6BEAD367FDE6}"/>
            </c:ext>
          </c:extLst>
        </c:ser>
        <c:ser>
          <c:idx val="1"/>
          <c:order val="1"/>
          <c:tx>
            <c:strRef>
              <c:f>داشبورد!$I$43</c:f>
              <c:strCache>
                <c:ptCount val="1"/>
                <c:pt idx="0">
                  <c:v>هزینه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val>
            <c:numRef>
              <c:f>داشبورد!$J$43:$K$43</c:f>
              <c:numCache>
                <c:formatCode>_ * #,##0_-_ ;_ * #,##0\-_ ;_ * "-"??_-_ ;_ @_ </c:formatCode>
                <c:ptCount val="2"/>
                <c:pt idx="0">
                  <c:v>3914000000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A-4FE0-B3FC-6BEAD367F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7830864"/>
        <c:axId val="717826184"/>
      </c:barChart>
      <c:catAx>
        <c:axId val="71783086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26184"/>
        <c:crosses val="autoZero"/>
        <c:auto val="1"/>
        <c:lblAlgn val="ctr"/>
        <c:lblOffset val="100"/>
        <c:noMultiLvlLbl val="0"/>
      </c:catAx>
      <c:valAx>
        <c:axId val="71782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3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99803149606299"/>
          <c:y val="0.14861111111111111"/>
          <c:w val="0.82900196850393704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KPI!$B$22</c:f>
              <c:strCache>
                <c:ptCount val="1"/>
                <c:pt idx="0">
                  <c:v>تولید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KPI!$C$22:$G$22</c:f>
              <c:numCache>
                <c:formatCode>_ * #,##0_-_ ;_ * #,##0\-_ ;_ * "-"??_-_ ;_ @_ </c:formatCode>
                <c:ptCount val="5"/>
                <c:pt idx="0">
                  <c:v>455318</c:v>
                </c:pt>
                <c:pt idx="1">
                  <c:v>206229</c:v>
                </c:pt>
                <c:pt idx="2">
                  <c:v>384377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7-42B4-928E-599CCE337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846344"/>
        <c:axId val="717850664"/>
      </c:barChart>
      <c:catAx>
        <c:axId val="71784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50664"/>
        <c:crosses val="autoZero"/>
        <c:auto val="1"/>
        <c:lblAlgn val="ctr"/>
        <c:lblOffset val="100"/>
        <c:noMultiLvlLbl val="0"/>
      </c:catAx>
      <c:valAx>
        <c:axId val="71785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33136482939634"/>
          <c:y val="0.16712962962962963"/>
          <c:w val="0.84166863517060364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KPI!$B$25</c:f>
              <c:strCache>
                <c:ptCount val="1"/>
                <c:pt idx="0">
                  <c:v>میانگین تولید در شیفت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KPI!$C$25:$G$25</c:f>
              <c:numCache>
                <c:formatCode>_ * #,##0_-_ ;_ * #,##0\-_ ;_ * "-"??_-_ ;_ @_ </c:formatCode>
                <c:ptCount val="5"/>
                <c:pt idx="0">
                  <c:v>18212.72</c:v>
                </c:pt>
                <c:pt idx="1">
                  <c:v>7931.8846153846152</c:v>
                </c:pt>
                <c:pt idx="2">
                  <c:v>14236.185185185184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7-40D3-A2DA-8E4F3252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86256"/>
        <c:axId val="705793816"/>
      </c:barChart>
      <c:catAx>
        <c:axId val="7057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3816"/>
        <c:crosses val="autoZero"/>
        <c:auto val="1"/>
        <c:lblAlgn val="ctr"/>
        <c:lblOffset val="100"/>
        <c:noMultiLvlLbl val="0"/>
      </c:catAx>
      <c:valAx>
        <c:axId val="70579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KPI!$B$23</c:f>
              <c:strCache>
                <c:ptCount val="1"/>
                <c:pt idx="0">
                  <c:v>تعداد شیفت فعال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KPI!$C$23:$G$23</c:f>
              <c:numCache>
                <c:formatCode>_ * #,##0_-_ ;_ * #,##0\-_ ;_ * "-"??_-_ ;_ @_ </c:formatCode>
                <c:ptCount val="5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B-4084-90AE-643F2C716C55}"/>
            </c:ext>
          </c:extLst>
        </c:ser>
        <c:ser>
          <c:idx val="1"/>
          <c:order val="1"/>
          <c:tx>
            <c:strRef>
              <c:f>KPI!$B$24</c:f>
              <c:strCache>
                <c:ptCount val="1"/>
                <c:pt idx="0">
                  <c:v>تعداد شیفت غیرفعال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KPI!$C$24:$G$24</c:f>
              <c:numCache>
                <c:formatCode>_ * #,##0_-_ ;_ * #,##0\-_ ;_ * "-"??_-_ ;_ @_ </c:formatCode>
                <c:ptCount val="5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B-4084-90AE-643F2C716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9957032"/>
        <c:axId val="549956672"/>
      </c:barChart>
      <c:catAx>
        <c:axId val="54995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56672"/>
        <c:crosses val="autoZero"/>
        <c:auto val="1"/>
        <c:lblAlgn val="ctr"/>
        <c:lblOffset val="100"/>
        <c:noMultiLvlLbl val="0"/>
      </c:catAx>
      <c:valAx>
        <c:axId val="5499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5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بهره وری تولید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45-4431-AEAE-DA839FDF0498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45-4431-AEAE-DA839FDF0498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KPI!$C$3:$E$3</c:f>
              <c:numCache>
                <c:formatCode>_ * #,##0_-_ ;_ * #,##0\-_ ;_ * "-"??_-_ ;_ @_ </c:formatCode>
                <c:ptCount val="3"/>
                <c:pt idx="0">
                  <c:v>1045924</c:v>
                </c:pt>
                <c:pt idx="1">
                  <c:v>1248000</c:v>
                </c:pt>
                <c:pt idx="2">
                  <c:v>2480000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5-4431-AEAE-DA839FDF0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95256"/>
        <c:axId val="717536232"/>
      </c:barChart>
      <c:catAx>
        <c:axId val="70579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6232"/>
        <c:crosses val="autoZero"/>
        <c:auto val="1"/>
        <c:lblAlgn val="ctr"/>
        <c:lblOffset val="100"/>
        <c:noMultiLvlLbl val="0"/>
      </c:catAx>
      <c:valAx>
        <c:axId val="71753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KPI!$B$9</c:f>
              <c:strCache>
                <c:ptCount val="1"/>
                <c:pt idx="0">
                  <c:v>بهره وری نیروی انسانی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D6-45AD-932B-72815A7464B6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D6-45AD-932B-72815A7464B6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KPI!$C$9:$E$9</c:f>
              <c:numCache>
                <c:formatCode>0.00</c:formatCode>
                <c:ptCount val="3"/>
                <c:pt idx="0">
                  <c:v>213.6282679738562</c:v>
                </c:pt>
                <c:pt idx="1">
                  <c:v>254.90196078431373</c:v>
                </c:pt>
                <c:pt idx="2">
                  <c:v>7272.727272727273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6-45AD-932B-72815A746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532992"/>
        <c:axId val="717533712"/>
      </c:barChart>
      <c:catAx>
        <c:axId val="7175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3712"/>
        <c:crosses val="autoZero"/>
        <c:auto val="1"/>
        <c:lblAlgn val="ctr"/>
        <c:lblOffset val="100"/>
        <c:noMultiLvlLbl val="0"/>
      </c:catAx>
      <c:valAx>
        <c:axId val="7175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KPI!$B$13</c:f>
              <c:strCache>
                <c:ptCount val="1"/>
                <c:pt idx="0">
                  <c:v>هزینه تولید به ازای هر رول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85B-479F-A16E-8B04A48A3D1E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5B-479F-A16E-8B04A48A3D1E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KPI!$C$13:$E$13</c:f>
              <c:numCache>
                <c:formatCode>0.000</c:formatCode>
                <c:ptCount val="3"/>
                <c:pt idx="0">
                  <c:v>3742.1457008348598</c:v>
                </c:pt>
                <c:pt idx="1">
                  <c:v>3136.2179487179487</c:v>
                </c:pt>
                <c:pt idx="2">
                  <c:v>2038.5416666666667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B-479F-A16E-8B04A48A3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305200"/>
        <c:axId val="718305920"/>
      </c:barChart>
      <c:catAx>
        <c:axId val="7183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920"/>
        <c:crosses val="autoZero"/>
        <c:auto val="1"/>
        <c:lblAlgn val="ctr"/>
        <c:lblOffset val="100"/>
        <c:noMultiLvlLbl val="0"/>
      </c:catAx>
      <c:valAx>
        <c:axId val="7183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99803149606299"/>
          <c:y val="0.14861111111111111"/>
          <c:w val="0.82900196850393704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KPI!$B$22</c:f>
              <c:strCache>
                <c:ptCount val="1"/>
                <c:pt idx="0">
                  <c:v>تولید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KPI!$C$22:$G$22</c:f>
              <c:numCache>
                <c:formatCode>_ * #,##0_-_ ;_ * #,##0\-_ ;_ * "-"??_-_ ;_ @_ </c:formatCode>
                <c:ptCount val="5"/>
                <c:pt idx="0">
                  <c:v>455318</c:v>
                </c:pt>
                <c:pt idx="1">
                  <c:v>206229</c:v>
                </c:pt>
                <c:pt idx="2">
                  <c:v>384377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7-42B4-928E-599CCE337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846344"/>
        <c:axId val="717850664"/>
      </c:barChart>
      <c:catAx>
        <c:axId val="71784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50664"/>
        <c:crosses val="autoZero"/>
        <c:auto val="1"/>
        <c:lblAlgn val="ctr"/>
        <c:lblOffset val="100"/>
        <c:noMultiLvlLbl val="0"/>
      </c:catAx>
      <c:valAx>
        <c:axId val="71785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بهره وری تولید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45-4431-AEAE-DA839FDF0498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45-4431-AEAE-DA839FDF0498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KPI!$C$3:$E$3</c:f>
              <c:numCache>
                <c:formatCode>_ * #,##0_-_ ;_ * #,##0\-_ ;_ * "-"??_-_ ;_ @_ </c:formatCode>
                <c:ptCount val="3"/>
                <c:pt idx="0">
                  <c:v>1045924</c:v>
                </c:pt>
                <c:pt idx="1">
                  <c:v>1248000</c:v>
                </c:pt>
                <c:pt idx="2">
                  <c:v>2480000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5-4431-AEAE-DA839FDF0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95256"/>
        <c:axId val="717536232"/>
      </c:barChart>
      <c:catAx>
        <c:axId val="70579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6232"/>
        <c:crosses val="autoZero"/>
        <c:auto val="1"/>
        <c:lblAlgn val="ctr"/>
        <c:lblOffset val="100"/>
        <c:noMultiLvlLbl val="0"/>
      </c:catAx>
      <c:valAx>
        <c:axId val="71753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KPI!$B$9</c:f>
              <c:strCache>
                <c:ptCount val="1"/>
                <c:pt idx="0">
                  <c:v>بهره وری نیروی انسانی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D6-45AD-932B-72815A7464B6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D6-45AD-932B-72815A7464B6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KPI!$C$9:$E$9</c:f>
              <c:numCache>
                <c:formatCode>0.00</c:formatCode>
                <c:ptCount val="3"/>
                <c:pt idx="0">
                  <c:v>213.6282679738562</c:v>
                </c:pt>
                <c:pt idx="1">
                  <c:v>254.90196078431373</c:v>
                </c:pt>
                <c:pt idx="2">
                  <c:v>7272.727272727273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6-45AD-932B-72815A746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532992"/>
        <c:axId val="717533712"/>
      </c:barChart>
      <c:catAx>
        <c:axId val="7175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3712"/>
        <c:crosses val="autoZero"/>
        <c:auto val="1"/>
        <c:lblAlgn val="ctr"/>
        <c:lblOffset val="100"/>
        <c:noMultiLvlLbl val="0"/>
      </c:catAx>
      <c:valAx>
        <c:axId val="7175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KPI!$B$13</c:f>
              <c:strCache>
                <c:ptCount val="1"/>
                <c:pt idx="0">
                  <c:v>هزینه تولید به ازای هر رول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85B-479F-A16E-8B04A48A3D1E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5B-479F-A16E-8B04A48A3D1E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KPI!$C$13:$E$13</c:f>
              <c:numCache>
                <c:formatCode>0.000</c:formatCode>
                <c:ptCount val="3"/>
                <c:pt idx="0">
                  <c:v>3742.1457008348598</c:v>
                </c:pt>
                <c:pt idx="1">
                  <c:v>3136.2179487179487</c:v>
                </c:pt>
                <c:pt idx="2">
                  <c:v>2038.5416666666667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B-479F-A16E-8B04A48A3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305200"/>
        <c:axId val="718305920"/>
      </c:barChart>
      <c:catAx>
        <c:axId val="7183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920"/>
        <c:crosses val="autoZero"/>
        <c:auto val="1"/>
        <c:lblAlgn val="ctr"/>
        <c:lblOffset val="100"/>
        <c:noMultiLvlLbl val="0"/>
      </c:catAx>
      <c:valAx>
        <c:axId val="7183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33136482939634"/>
          <c:y val="0.16712962962962963"/>
          <c:w val="0.84166863517060364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KPI!$B$25</c:f>
              <c:strCache>
                <c:ptCount val="1"/>
                <c:pt idx="0">
                  <c:v>میانگین تولید در شیفت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KPI!$C$25:$G$25</c:f>
              <c:numCache>
                <c:formatCode>_ * #,##0_-_ ;_ * #,##0\-_ ;_ * "-"??_-_ ;_ @_ </c:formatCode>
                <c:ptCount val="5"/>
                <c:pt idx="0">
                  <c:v>18212.72</c:v>
                </c:pt>
                <c:pt idx="1">
                  <c:v>7931.8846153846152</c:v>
                </c:pt>
                <c:pt idx="2">
                  <c:v>14236.185185185184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7-40D3-A2DA-8E4F3252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86256"/>
        <c:axId val="705793816"/>
      </c:barChart>
      <c:catAx>
        <c:axId val="7057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3816"/>
        <c:crosses val="autoZero"/>
        <c:auto val="1"/>
        <c:lblAlgn val="ctr"/>
        <c:lblOffset val="100"/>
        <c:noMultiLvlLbl val="0"/>
      </c:catAx>
      <c:valAx>
        <c:axId val="70579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99803149606299"/>
          <c:y val="0.14861111111111111"/>
          <c:w val="0.82900196850393704"/>
          <c:h val="0.728433945756780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KPI!$B$22</c:f>
              <c:strCache>
                <c:ptCount val="1"/>
                <c:pt idx="0">
                  <c:v>تولید</c:v>
                </c:pt>
              </c:strCache>
            </c:strRef>
          </c:tx>
          <c:spPr>
            <a:solidFill>
              <a:srgbClr val="66FF66"/>
            </a:solidFill>
            <a:ln>
              <a:noFill/>
            </a:ln>
            <a:effectLst/>
          </c:spPr>
          <c:invertIfNegative val="0"/>
          <c:cat>
            <c:strRef>
              <c:f>KPI!$C$21:$G$21</c:f>
              <c:strCache>
                <c:ptCount val="5"/>
                <c:pt idx="0">
                  <c:v>برش 1</c:v>
                </c:pt>
                <c:pt idx="1">
                  <c:v>برش 2</c:v>
                </c:pt>
                <c:pt idx="2">
                  <c:v>برش 3</c:v>
                </c:pt>
                <c:pt idx="3">
                  <c:v>برش 4</c:v>
                </c:pt>
                <c:pt idx="4">
                  <c:v>برش 5</c:v>
                </c:pt>
              </c:strCache>
            </c:strRef>
          </c:cat>
          <c:val>
            <c:numRef>
              <c:f>KPI!$C$22:$G$22</c:f>
              <c:numCache>
                <c:formatCode>_ * #,##0_-_ ;_ * #,##0\-_ ;_ * "-"??_-_ ;_ @_ </c:formatCode>
                <c:ptCount val="5"/>
                <c:pt idx="0">
                  <c:v>455318</c:v>
                </c:pt>
                <c:pt idx="1">
                  <c:v>206229</c:v>
                </c:pt>
                <c:pt idx="2">
                  <c:v>384377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7-42B4-928E-599CCE337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846344"/>
        <c:axId val="717850664"/>
      </c:barChart>
      <c:catAx>
        <c:axId val="71784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50664"/>
        <c:crosses val="autoZero"/>
        <c:auto val="1"/>
        <c:lblAlgn val="ctr"/>
        <c:lblOffset val="100"/>
        <c:noMultiLvlLbl val="0"/>
      </c:catAx>
      <c:valAx>
        <c:axId val="71785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بهره وری تولید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D45-4431-AEAE-DA839FDF0498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45-4431-AEAE-DA839FDF0498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KPI!$C$3:$E$3</c:f>
              <c:numCache>
                <c:formatCode>_ * #,##0_-_ ;_ * #,##0\-_ ;_ * "-"??_-_ ;_ @_ </c:formatCode>
                <c:ptCount val="3"/>
                <c:pt idx="0">
                  <c:v>1045924</c:v>
                </c:pt>
                <c:pt idx="1">
                  <c:v>1248000</c:v>
                </c:pt>
                <c:pt idx="2">
                  <c:v>2480000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5-4431-AEAE-DA839FDF0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5795256"/>
        <c:axId val="717536232"/>
      </c:barChart>
      <c:catAx>
        <c:axId val="70579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6232"/>
        <c:crosses val="autoZero"/>
        <c:auto val="1"/>
        <c:lblAlgn val="ctr"/>
        <c:lblOffset val="100"/>
        <c:noMultiLvlLbl val="0"/>
      </c:catAx>
      <c:valAx>
        <c:axId val="71753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-_ ;_ * #,##0\-_ ;_ * &quot;-&quot;??_-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79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KPI!$B$9</c:f>
              <c:strCache>
                <c:ptCount val="1"/>
                <c:pt idx="0">
                  <c:v>بهره وری نیروی انسانی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D6-45AD-932B-72815A7464B6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D6-45AD-932B-72815A7464B6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KPI!$C$9:$E$9</c:f>
              <c:numCache>
                <c:formatCode>0.00</c:formatCode>
                <c:ptCount val="3"/>
                <c:pt idx="0">
                  <c:v>213.6282679738562</c:v>
                </c:pt>
                <c:pt idx="1">
                  <c:v>254.90196078431373</c:v>
                </c:pt>
                <c:pt idx="2">
                  <c:v>7272.727272727273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6-45AD-932B-72815A746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532992"/>
        <c:axId val="717533712"/>
      </c:barChart>
      <c:catAx>
        <c:axId val="7175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3712"/>
        <c:crosses val="autoZero"/>
        <c:auto val="1"/>
        <c:lblAlgn val="ctr"/>
        <c:lblOffset val="100"/>
        <c:noMultiLvlLbl val="0"/>
      </c:catAx>
      <c:valAx>
        <c:axId val="7175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KPI!$B$13</c:f>
              <c:strCache>
                <c:ptCount val="1"/>
                <c:pt idx="0">
                  <c:v>هزینه تولید به ازای هر رول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85B-479F-A16E-8B04A48A3D1E}"/>
              </c:ext>
            </c:extLst>
          </c:dPt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5B-479F-A16E-8B04A48A3D1E}"/>
              </c:ext>
            </c:extLst>
          </c:dPt>
          <c:cat>
            <c:strRef>
              <c:f>KPI!$C$2:$E$2</c:f>
              <c:strCache>
                <c:ptCount val="3"/>
                <c:pt idx="0">
                  <c:v>واقعی </c:v>
                </c:pt>
                <c:pt idx="1">
                  <c:v>مطلوب </c:v>
                </c:pt>
                <c:pt idx="2">
                  <c:v>ایده ال</c:v>
                </c:pt>
              </c:strCache>
            </c:strRef>
          </c:cat>
          <c:val>
            <c:numRef>
              <c:f>KPI!$C$13:$E$13</c:f>
              <c:numCache>
                <c:formatCode>0.000</c:formatCode>
                <c:ptCount val="3"/>
                <c:pt idx="0">
                  <c:v>3742.1457008348598</c:v>
                </c:pt>
                <c:pt idx="1">
                  <c:v>3136.2179487179487</c:v>
                </c:pt>
                <c:pt idx="2">
                  <c:v>2038.5416666666667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B-479F-A16E-8B04A48A3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305200"/>
        <c:axId val="718305920"/>
      </c:barChart>
      <c:catAx>
        <c:axId val="71830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920"/>
        <c:crosses val="autoZero"/>
        <c:auto val="1"/>
        <c:lblAlgn val="ctr"/>
        <c:lblOffset val="100"/>
        <c:noMultiLvlLbl val="0"/>
      </c:catAx>
      <c:valAx>
        <c:axId val="7183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KPI!$G$2</c:f>
              <c:strCache>
                <c:ptCount val="1"/>
                <c:pt idx="0">
                  <c:v>درصد بهره وری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407-4FDD-B0F0-5D41E784B0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5407-4FDD-B0F0-5D41E784B00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407-4FDD-B0F0-5D41E784B00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407-4FDD-B0F0-5D41E784B00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(KPI!$G$3,KPI!$G$16)</c:f>
              <c:numCache>
                <c:formatCode>_ * #,##0.00_-_ر_ي_ا_ل_ ;_ * #,##0.00\-_ر_ي_ا_ل_ ;_ * "-"??_-_ر_ي_ا_ل_ ;_ @_ </c:formatCode>
                <c:ptCount val="2"/>
                <c:pt idx="0" formatCode="_(* #,##0.00_);_(* \(#,##0.00\);_(* &quot;-&quot;??_);_(@_)">
                  <c:v>65.370249999999999</c:v>
                </c:pt>
                <c:pt idx="1">
                  <c:v>34.629750000000001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7-4FDD-B0F0-5D41E784B00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18" Type="http://schemas.openxmlformats.org/officeDocument/2006/relationships/chart" Target="../charts/chart27.xml"/><Relationship Id="rId3" Type="http://schemas.openxmlformats.org/officeDocument/2006/relationships/chart" Target="../charts/chart12.xml"/><Relationship Id="rId21" Type="http://schemas.openxmlformats.org/officeDocument/2006/relationships/chart" Target="../charts/chart30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17" Type="http://schemas.openxmlformats.org/officeDocument/2006/relationships/chart" Target="../charts/chart26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20" Type="http://schemas.openxmlformats.org/officeDocument/2006/relationships/chart" Target="../charts/chart29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10" Type="http://schemas.openxmlformats.org/officeDocument/2006/relationships/chart" Target="../charts/chart19.xml"/><Relationship Id="rId19" Type="http://schemas.openxmlformats.org/officeDocument/2006/relationships/chart" Target="../charts/chart28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95251</xdr:colOff>
      <xdr:row>15</xdr:row>
      <xdr:rowOff>19050</xdr:rowOff>
    </xdr:from>
    <xdr:to>
      <xdr:col>12</xdr:col>
      <xdr:colOff>38101</xdr:colOff>
      <xdr:row>25</xdr:row>
      <xdr:rowOff>157162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58EA9B-3919-42BA-BF3C-6B9B596E9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342901</xdr:colOff>
      <xdr:row>26</xdr:row>
      <xdr:rowOff>152400</xdr:rowOff>
    </xdr:from>
    <xdr:to>
      <xdr:col>18</xdr:col>
      <xdr:colOff>333375</xdr:colOff>
      <xdr:row>36</xdr:row>
      <xdr:rowOff>142874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BED4073-97D7-4C4A-896F-BDEA67EDA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342901</xdr:colOff>
      <xdr:row>14</xdr:row>
      <xdr:rowOff>66675</xdr:rowOff>
    </xdr:from>
    <xdr:to>
      <xdr:col>6</xdr:col>
      <xdr:colOff>723899</xdr:colOff>
      <xdr:row>26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5C424B9-4355-4029-8014-EEF23961D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171449</xdr:colOff>
      <xdr:row>15</xdr:row>
      <xdr:rowOff>14286</xdr:rowOff>
    </xdr:from>
    <xdr:to>
      <xdr:col>18</xdr:col>
      <xdr:colOff>400050</xdr:colOff>
      <xdr:row>25</xdr:row>
      <xdr:rowOff>152399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7B81236-8F6C-4365-86DB-A1DBF5108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114300</xdr:colOff>
      <xdr:row>2</xdr:row>
      <xdr:rowOff>23811</xdr:rowOff>
    </xdr:from>
    <xdr:to>
      <xdr:col>18</xdr:col>
      <xdr:colOff>400051</xdr:colOff>
      <xdr:row>13</xdr:row>
      <xdr:rowOff>123824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AD5A916-562E-48D0-A376-2EAC8F4EB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344966</xdr:colOff>
      <xdr:row>2</xdr:row>
      <xdr:rowOff>38100</xdr:rowOff>
    </xdr:from>
    <xdr:to>
      <xdr:col>3</xdr:col>
      <xdr:colOff>228600</xdr:colOff>
      <xdr:row>17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515770F-2A69-41E0-B13D-CDD2F2D60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114300</xdr:colOff>
      <xdr:row>2</xdr:row>
      <xdr:rowOff>19050</xdr:rowOff>
    </xdr:from>
    <xdr:to>
      <xdr:col>12</xdr:col>
      <xdr:colOff>47625</xdr:colOff>
      <xdr:row>13</xdr:row>
      <xdr:rowOff>123824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A36768D-AD11-4AAA-AC3C-4BF1080D7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323851</xdr:colOff>
      <xdr:row>18</xdr:row>
      <xdr:rowOff>76200</xdr:rowOff>
    </xdr:from>
    <xdr:to>
      <xdr:col>3</xdr:col>
      <xdr:colOff>247650</xdr:colOff>
      <xdr:row>33</xdr:row>
      <xdr:rowOff>133349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CC346B1-DC43-4562-B2C3-B84FA4216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533400</xdr:colOff>
      <xdr:row>2</xdr:row>
      <xdr:rowOff>19049</xdr:rowOff>
    </xdr:from>
    <xdr:to>
      <xdr:col>6</xdr:col>
      <xdr:colOff>685800</xdr:colOff>
      <xdr:row>13</xdr:row>
      <xdr:rowOff>57150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D07ECF-43EA-4F08-8EC6-EC1855B01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0</xdr:row>
      <xdr:rowOff>304801</xdr:rowOff>
    </xdr:from>
    <xdr:to>
      <xdr:col>9</xdr:col>
      <xdr:colOff>1019175</xdr:colOff>
      <xdr:row>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EA08F0-D01A-5C19-AAB4-5FD7A33C5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514349</xdr:colOff>
      <xdr:row>1</xdr:row>
      <xdr:rowOff>9526</xdr:rowOff>
    </xdr:from>
    <xdr:to>
      <xdr:col>14</xdr:col>
      <xdr:colOff>152399</xdr:colOff>
      <xdr:row>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F05F86-0081-FEE5-C7A0-82E42BA13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295274</xdr:colOff>
      <xdr:row>8</xdr:row>
      <xdr:rowOff>28575</xdr:rowOff>
    </xdr:from>
    <xdr:to>
      <xdr:col>9</xdr:col>
      <xdr:colOff>1019174</xdr:colOff>
      <xdr:row>14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FDB1AA-CD8B-DE07-334F-E70BCA1BA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495300</xdr:colOff>
      <xdr:row>8</xdr:row>
      <xdr:rowOff>19051</xdr:rowOff>
    </xdr:from>
    <xdr:to>
      <xdr:col>14</xdr:col>
      <xdr:colOff>142875</xdr:colOff>
      <xdr:row>14</xdr:row>
      <xdr:rowOff>176213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03BF0B8-2B23-28BD-E32A-0BCB3C745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247650</xdr:colOff>
      <xdr:row>14</xdr:row>
      <xdr:rowOff>190499</xdr:rowOff>
    </xdr:from>
    <xdr:to>
      <xdr:col>14</xdr:col>
      <xdr:colOff>142875</xdr:colOff>
      <xdr:row>19</xdr:row>
      <xdr:rowOff>676275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140C63-6F3E-9D65-C29D-82920E118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1038225</xdr:colOff>
      <xdr:row>0</xdr:row>
      <xdr:rowOff>309562</xdr:rowOff>
    </xdr:from>
    <xdr:to>
      <xdr:col>19</xdr:col>
      <xdr:colOff>371475</xdr:colOff>
      <xdr:row>7</xdr:row>
      <xdr:rowOff>304800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82F8108-443C-2D60-8CE8-83C4BE3BB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1028700</xdr:colOff>
      <xdr:row>8</xdr:row>
      <xdr:rowOff>14287</xdr:rowOff>
    </xdr:from>
    <xdr:to>
      <xdr:col>19</xdr:col>
      <xdr:colOff>361950</xdr:colOff>
      <xdr:row>14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09C2AFF-923D-5E10-154C-06DC63F5D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1038225</xdr:colOff>
      <xdr:row>14</xdr:row>
      <xdr:rowOff>176212</xdr:rowOff>
    </xdr:from>
    <xdr:to>
      <xdr:col>19</xdr:col>
      <xdr:colOff>371475</xdr:colOff>
      <xdr:row>19</xdr:row>
      <xdr:rowOff>723900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52A0995-E552-7BDD-419E-9E0B8D87B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266700</xdr:colOff>
      <xdr:row>0</xdr:row>
      <xdr:rowOff>304801</xdr:rowOff>
    </xdr:from>
    <xdr:to>
      <xdr:col>9</xdr:col>
      <xdr:colOff>990600</xdr:colOff>
      <xdr:row>8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C7B1551-1601-46F5-B2D1-57C726373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485774</xdr:colOff>
      <xdr:row>1</xdr:row>
      <xdr:rowOff>9526</xdr:rowOff>
    </xdr:from>
    <xdr:to>
      <xdr:col>14</xdr:col>
      <xdr:colOff>123824</xdr:colOff>
      <xdr:row>8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24C1992-A6A1-EF4F-8133-601E7D4BA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266699</xdr:colOff>
      <xdr:row>8</xdr:row>
      <xdr:rowOff>28575</xdr:rowOff>
    </xdr:from>
    <xdr:to>
      <xdr:col>9</xdr:col>
      <xdr:colOff>990599</xdr:colOff>
      <xdr:row>14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9122E1A-8963-20F7-9487-FE6F5C460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1009650</xdr:colOff>
      <xdr:row>0</xdr:row>
      <xdr:rowOff>300037</xdr:rowOff>
    </xdr:from>
    <xdr:to>
      <xdr:col>19</xdr:col>
      <xdr:colOff>342900</xdr:colOff>
      <xdr:row>7</xdr:row>
      <xdr:rowOff>295275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C0D0193-1DA2-CC23-1E04-0A5A088DA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238125</xdr:colOff>
      <xdr:row>0</xdr:row>
      <xdr:rowOff>295276</xdr:rowOff>
    </xdr:from>
    <xdr:to>
      <xdr:col>9</xdr:col>
      <xdr:colOff>962025</xdr:colOff>
      <xdr:row>7</xdr:row>
      <xdr:rowOff>304800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A57A3B2-8981-A4BC-B65A-90F519FFE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457199</xdr:colOff>
      <xdr:row>1</xdr:row>
      <xdr:rowOff>1</xdr:rowOff>
    </xdr:from>
    <xdr:to>
      <xdr:col>14</xdr:col>
      <xdr:colOff>95249</xdr:colOff>
      <xdr:row>8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D0F80D2-19A8-D2EE-0A4D-285867B75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238124</xdr:colOff>
      <xdr:row>8</xdr:row>
      <xdr:rowOff>19050</xdr:rowOff>
    </xdr:from>
    <xdr:to>
      <xdr:col>9</xdr:col>
      <xdr:colOff>962024</xdr:colOff>
      <xdr:row>14</xdr:row>
      <xdr:rowOff>171450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FCB4AD3-B85E-7AD4-46D4-A92BF979F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1009650</xdr:colOff>
      <xdr:row>8</xdr:row>
      <xdr:rowOff>42862</xdr:rowOff>
    </xdr:from>
    <xdr:to>
      <xdr:col>19</xdr:col>
      <xdr:colOff>342900</xdr:colOff>
      <xdr:row>14</xdr:row>
      <xdr:rowOff>200025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0BB6081-10EC-D813-4D7C-9A5B836D7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990600</xdr:colOff>
      <xdr:row>1</xdr:row>
      <xdr:rowOff>14287</xdr:rowOff>
    </xdr:from>
    <xdr:to>
      <xdr:col>19</xdr:col>
      <xdr:colOff>323850</xdr:colOff>
      <xdr:row>8</xdr:row>
      <xdr:rowOff>9525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814FE77-B35B-C6E4-F04A-A60883C5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219075</xdr:colOff>
      <xdr:row>1</xdr:row>
      <xdr:rowOff>9526</xdr:rowOff>
    </xdr:from>
    <xdr:to>
      <xdr:col>9</xdr:col>
      <xdr:colOff>942975</xdr:colOff>
      <xdr:row>8</xdr:row>
      <xdr:rowOff>19050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EA97C7E-637D-2BA4-9427-703051BE5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438149</xdr:colOff>
      <xdr:row>1</xdr:row>
      <xdr:rowOff>28576</xdr:rowOff>
    </xdr:from>
    <xdr:to>
      <xdr:col>14</xdr:col>
      <xdr:colOff>76199</xdr:colOff>
      <xdr:row>8</xdr:row>
      <xdr:rowOff>28575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F0A098B-F905-0278-79FE-48EC7F851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219074</xdr:colOff>
      <xdr:row>8</xdr:row>
      <xdr:rowOff>47625</xdr:rowOff>
    </xdr:from>
    <xdr:to>
      <xdr:col>9</xdr:col>
      <xdr:colOff>942974</xdr:colOff>
      <xdr:row>14</xdr:row>
      <xdr:rowOff>200025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BF128CE-2CA3-FADF-8D18-C722A6149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161925</xdr:colOff>
      <xdr:row>19</xdr:row>
      <xdr:rowOff>833437</xdr:rowOff>
    </xdr:from>
    <xdr:to>
      <xdr:col>15</xdr:col>
      <xdr:colOff>542925</xdr:colOff>
      <xdr:row>25</xdr:row>
      <xdr:rowOff>300037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8585877-3270-DE52-133A-6B074CBE4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0D06-C82F-4A50-8042-D6EB4DEF0700}">
  <dimension ref="B40:K55"/>
  <sheetViews>
    <sheetView showGridLines="0" rightToLeft="1" topLeftCell="A4" workbookViewId="0">
      <selection activeCell="G24" sqref="G24"/>
    </sheetView>
  </sheetViews>
  <sheetFormatPr defaultRowHeight="14.5"/>
  <cols>
    <col min="2" max="2" width="21" customWidth="1"/>
    <col min="3" max="3" width="19.81640625" customWidth="1"/>
    <col min="4" max="4" width="14.54296875" customWidth="1"/>
    <col min="5" max="5" width="13.54296875" customWidth="1"/>
    <col min="6" max="6" width="13.26953125" customWidth="1"/>
    <col min="7" max="7" width="14.26953125" customWidth="1"/>
    <col min="8" max="8" width="9.7265625" customWidth="1"/>
    <col min="9" max="9" width="13.26953125" customWidth="1"/>
    <col min="11" max="11" width="17.1796875" customWidth="1"/>
  </cols>
  <sheetData>
    <row r="40" spans="2:11" ht="15" thickBot="1"/>
    <row r="41" spans="2:11" ht="25" customHeight="1" thickTop="1" thickBot="1">
      <c r="B41" s="114"/>
      <c r="C41" s="115" t="s">
        <v>25</v>
      </c>
      <c r="D41" s="115" t="s">
        <v>26</v>
      </c>
      <c r="E41" s="115" t="s">
        <v>28</v>
      </c>
      <c r="F41" s="115" t="s">
        <v>27</v>
      </c>
      <c r="G41" s="116" t="s">
        <v>33</v>
      </c>
    </row>
    <row r="42" spans="2:11" ht="25" customHeight="1" thickTop="1">
      <c r="B42" s="117" t="s">
        <v>18</v>
      </c>
      <c r="C42" s="123">
        <v>1275000</v>
      </c>
      <c r="D42" s="39">
        <v>1360000</v>
      </c>
      <c r="E42" s="40">
        <v>2480000</v>
      </c>
      <c r="F42" s="37">
        <v>85000</v>
      </c>
      <c r="G42" s="110">
        <v>79.6875</v>
      </c>
      <c r="I42" s="105" t="s">
        <v>52</v>
      </c>
      <c r="J42" s="158">
        <f>درامد!E8</f>
        <v>5521716000</v>
      </c>
      <c r="K42" s="159"/>
    </row>
    <row r="43" spans="2:11" ht="25" customHeight="1" thickBot="1">
      <c r="B43" s="117"/>
      <c r="C43" s="124"/>
      <c r="D43" s="121"/>
      <c r="E43" s="119"/>
      <c r="F43" s="111"/>
      <c r="G43" s="110"/>
      <c r="I43" s="106" t="s">
        <v>53</v>
      </c>
      <c r="J43" s="160">
        <f>منابع!D4</f>
        <v>3914000000</v>
      </c>
      <c r="K43" s="161"/>
    </row>
    <row r="44" spans="2:11" ht="25" customHeight="1" thickTop="1">
      <c r="B44" s="117" t="s">
        <v>19</v>
      </c>
      <c r="C44" s="124">
        <v>0.99000202020202022</v>
      </c>
      <c r="D44" s="121">
        <v>1</v>
      </c>
      <c r="E44" s="119">
        <v>1</v>
      </c>
      <c r="F44" s="111">
        <v>9.9979797979797835E-3</v>
      </c>
      <c r="G44" s="110" t="s">
        <v>46</v>
      </c>
    </row>
    <row r="45" spans="2:11" ht="25" customHeight="1">
      <c r="B45" s="117"/>
      <c r="C45" s="124"/>
      <c r="D45" s="121"/>
      <c r="E45" s="119"/>
      <c r="F45" s="111"/>
      <c r="G45" s="110"/>
    </row>
    <row r="46" spans="2:11" ht="25" customHeight="1">
      <c r="B46" s="117" t="s">
        <v>20</v>
      </c>
      <c r="C46" s="124">
        <v>0</v>
      </c>
      <c r="D46" s="121"/>
      <c r="E46" s="119"/>
      <c r="F46" s="111"/>
      <c r="G46" s="110" t="s">
        <v>49</v>
      </c>
    </row>
    <row r="47" spans="2:11" ht="25" customHeight="1">
      <c r="B47" s="117"/>
      <c r="C47" s="124"/>
      <c r="D47" s="121"/>
      <c r="E47" s="119"/>
      <c r="F47" s="111"/>
      <c r="G47" s="110"/>
    </row>
    <row r="48" spans="2:11" ht="25" customHeight="1">
      <c r="B48" s="117" t="s">
        <v>21</v>
      </c>
      <c r="C48" s="123">
        <v>4829.545454545455</v>
      </c>
      <c r="D48" s="39">
        <v>5151.515151515152</v>
      </c>
      <c r="E48" s="40">
        <v>7272.727272727273</v>
      </c>
      <c r="F48" s="37">
        <v>321.969696969697</v>
      </c>
      <c r="G48" s="110">
        <v>66.40625</v>
      </c>
    </row>
    <row r="49" spans="2:7" ht="25" customHeight="1">
      <c r="B49" s="117"/>
      <c r="C49" s="124"/>
      <c r="D49" s="121"/>
      <c r="E49" s="119"/>
      <c r="F49" s="111"/>
      <c r="G49" s="110"/>
    </row>
    <row r="50" spans="2:7" ht="25" customHeight="1">
      <c r="B50" s="117" t="s">
        <v>22</v>
      </c>
      <c r="C50" s="124">
        <v>99.957647058823525</v>
      </c>
      <c r="D50" s="121"/>
      <c r="E50" s="119"/>
      <c r="F50" s="111"/>
      <c r="G50" s="110" t="s">
        <v>46</v>
      </c>
    </row>
    <row r="51" spans="2:7" ht="25" customHeight="1">
      <c r="B51" s="117"/>
      <c r="C51" s="124"/>
      <c r="D51" s="121"/>
      <c r="E51" s="119"/>
      <c r="F51" s="111"/>
      <c r="G51" s="110"/>
    </row>
    <row r="52" spans="2:7" ht="25" customHeight="1">
      <c r="B52" s="117" t="s">
        <v>23</v>
      </c>
      <c r="C52" s="123">
        <v>10745.098039215687</v>
      </c>
      <c r="D52" s="39">
        <v>10073.529411764706</v>
      </c>
      <c r="E52" s="40">
        <v>7135.416666666667</v>
      </c>
      <c r="F52" s="111"/>
      <c r="G52" s="110">
        <v>150.58823529411765</v>
      </c>
    </row>
    <row r="53" spans="2:7" ht="25" customHeight="1">
      <c r="B53" s="117"/>
      <c r="C53" s="124"/>
      <c r="D53" s="121"/>
      <c r="E53" s="119"/>
      <c r="F53" s="111"/>
      <c r="G53" s="110"/>
    </row>
    <row r="54" spans="2:7" ht="25" customHeight="1" thickBot="1">
      <c r="B54" s="118" t="s">
        <v>38</v>
      </c>
      <c r="C54" s="125">
        <v>-5288000000</v>
      </c>
      <c r="D54" s="122"/>
      <c r="E54" s="120"/>
      <c r="F54" s="112"/>
      <c r="G54" s="113">
        <v>-38.598540145985396</v>
      </c>
    </row>
    <row r="55" spans="2:7" ht="15" thickTop="1"/>
  </sheetData>
  <mergeCells count="2">
    <mergeCell ref="J42:K42"/>
    <mergeCell ref="J43:K4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7608-D883-40B9-906A-E1956D301330}">
  <dimension ref="B1:L26"/>
  <sheetViews>
    <sheetView rightToLeft="1" topLeftCell="A13" zoomScaleNormal="100" workbookViewId="0">
      <selection activeCell="C20" sqref="C20"/>
    </sheetView>
  </sheetViews>
  <sheetFormatPr defaultColWidth="15.7265625" defaultRowHeight="25" customHeight="1"/>
  <cols>
    <col min="2" max="2" width="23.54296875" style="18" customWidth="1"/>
    <col min="3" max="3" width="18.54296875" bestFit="1" customWidth="1"/>
    <col min="4" max="7" width="15.81640625" bestFit="1" customWidth="1"/>
  </cols>
  <sheetData>
    <row r="1" spans="2:12" ht="25" customHeight="1" thickBot="1"/>
    <row r="2" spans="2:12" ht="25" customHeight="1" thickTop="1">
      <c r="B2" s="77"/>
      <c r="C2" s="78" t="s">
        <v>25</v>
      </c>
      <c r="D2" s="78" t="s">
        <v>26</v>
      </c>
      <c r="E2" s="78" t="s">
        <v>28</v>
      </c>
      <c r="F2" s="78" t="s">
        <v>27</v>
      </c>
      <c r="G2" s="79" t="s">
        <v>33</v>
      </c>
    </row>
    <row r="3" spans="2:12" ht="25" customHeight="1">
      <c r="B3" s="80" t="s">
        <v>18</v>
      </c>
      <c r="C3" s="82">
        <f>مجموع!C4</f>
        <v>1045924</v>
      </c>
      <c r="D3" s="61">
        <f>مجموع!H3*مجموع!C3</f>
        <v>1248000</v>
      </c>
      <c r="E3" s="62">
        <f>مجموع!H3*155</f>
        <v>2480000</v>
      </c>
      <c r="F3" s="91">
        <f>D3-C3</f>
        <v>202076</v>
      </c>
      <c r="G3" s="63">
        <f>((مجموع!C3*مجموع!C4)/(مجموع!C3*مجموع!H3))</f>
        <v>65.370249999999999</v>
      </c>
      <c r="H3" s="162"/>
      <c r="I3" s="162"/>
      <c r="J3" s="162"/>
    </row>
    <row r="4" spans="2:12" ht="25" customHeight="1">
      <c r="B4" s="80"/>
      <c r="C4" s="83"/>
      <c r="D4" s="64"/>
      <c r="E4" s="65"/>
      <c r="F4" s="92"/>
      <c r="G4" s="63"/>
    </row>
    <row r="5" spans="2:12" ht="25" customHeight="1">
      <c r="B5" s="80" t="s">
        <v>19</v>
      </c>
      <c r="C5" s="84">
        <f>(((مجموع!C12+مجموع!C15)/مجموع!C13+مجموع!C16)/1000000)</f>
        <v>0.99000202020202022</v>
      </c>
      <c r="D5" s="66">
        <v>1</v>
      </c>
      <c r="E5" s="85">
        <v>1</v>
      </c>
      <c r="F5" s="93">
        <f>D5-C5</f>
        <v>9.9979797979797835E-3</v>
      </c>
      <c r="G5" s="63" t="s">
        <v>46</v>
      </c>
      <c r="H5" s="162"/>
      <c r="I5" s="162"/>
      <c r="J5" s="162"/>
    </row>
    <row r="6" spans="2:12" ht="25" customHeight="1">
      <c r="B6" s="80"/>
      <c r="C6" s="83"/>
      <c r="D6" s="64"/>
      <c r="E6" s="65"/>
      <c r="F6" s="92"/>
      <c r="G6" s="63"/>
      <c r="L6" s="76"/>
    </row>
    <row r="7" spans="2:12" ht="25" customHeight="1">
      <c r="B7" s="80" t="s">
        <v>20</v>
      </c>
      <c r="C7" s="83" t="e">
        <f>((مجموع!#REF!)/(مجموع!C3*8))</f>
        <v>#REF!</v>
      </c>
      <c r="D7" s="64"/>
      <c r="E7" s="65"/>
      <c r="F7" s="92"/>
      <c r="G7" s="63" t="s">
        <v>49</v>
      </c>
      <c r="H7" s="162"/>
      <c r="I7" s="162"/>
      <c r="J7" s="162"/>
    </row>
    <row r="8" spans="2:12" ht="25" customHeight="1">
      <c r="B8" s="80"/>
      <c r="C8" s="83"/>
      <c r="D8" s="64"/>
      <c r="E8" s="65"/>
      <c r="F8" s="92"/>
      <c r="G8" s="63"/>
    </row>
    <row r="9" spans="2:12" ht="25" customHeight="1">
      <c r="B9" s="80" t="s">
        <v>21</v>
      </c>
      <c r="C9" s="86">
        <f>((مجموع!C4)/(منابع!C3*مجموع!H5))</f>
        <v>213.6282679738562</v>
      </c>
      <c r="D9" s="67">
        <f>((مجموع!H3*مجموع!C3)/(منابع!C3*مجموع!H5))</f>
        <v>254.90196078431373</v>
      </c>
      <c r="E9" s="68">
        <f>((مجموع!H3*مجموع!H4)/(مجموع!H6*مجموع!H5))</f>
        <v>7272.727272727273</v>
      </c>
      <c r="F9" s="94">
        <f>D9-C9</f>
        <v>41.273692810457533</v>
      </c>
      <c r="G9" s="63">
        <f>(C9/E9)*100</f>
        <v>2.9373886846405224</v>
      </c>
      <c r="H9" s="162"/>
      <c r="I9" s="162"/>
      <c r="J9" s="162"/>
    </row>
    <row r="10" spans="2:12" ht="25" customHeight="1">
      <c r="B10" s="80"/>
      <c r="C10" s="83"/>
      <c r="D10" s="64"/>
      <c r="E10" s="65"/>
      <c r="F10" s="92"/>
      <c r="G10" s="63"/>
    </row>
    <row r="11" spans="2:12" ht="25" customHeight="1">
      <c r="B11" s="80" t="s">
        <v>22</v>
      </c>
      <c r="C11" s="86">
        <f>((مجموع!C4-مجموع!C6)/(مجموع!C4))*100</f>
        <v>100</v>
      </c>
      <c r="D11" s="64"/>
      <c r="E11" s="65"/>
      <c r="F11" s="92"/>
      <c r="G11" s="63" t="s">
        <v>46</v>
      </c>
      <c r="H11" s="162"/>
      <c r="I11" s="162"/>
      <c r="J11" s="162"/>
    </row>
    <row r="12" spans="2:12" ht="25" customHeight="1">
      <c r="B12" s="80"/>
      <c r="C12" s="83"/>
      <c r="D12" s="64"/>
      <c r="E12" s="65"/>
      <c r="F12" s="92"/>
      <c r="G12" s="63"/>
    </row>
    <row r="13" spans="2:12" ht="25" customHeight="1">
      <c r="B13" s="80" t="s">
        <v>23</v>
      </c>
      <c r="C13" s="87">
        <f>(منابع!D4/مجموع!C4)</f>
        <v>3742.1457008348598</v>
      </c>
      <c r="D13" s="69">
        <f>منابع!D4/(مجموع!H3*مجموع!C3)</f>
        <v>3136.2179487179487</v>
      </c>
      <c r="E13" s="88">
        <f>منابع!D4/(مجموع!H3*مجموع!H4)</f>
        <v>2038.5416666666667</v>
      </c>
      <c r="F13" s="92"/>
      <c r="G13" s="63">
        <f>(C13/E13)*100</f>
        <v>183.56974311709072</v>
      </c>
      <c r="H13" s="162"/>
      <c r="I13" s="162"/>
      <c r="J13" s="162"/>
    </row>
    <row r="14" spans="2:12" ht="25" customHeight="1">
      <c r="B14" s="80"/>
      <c r="C14" s="83"/>
      <c r="D14" s="70"/>
      <c r="E14" s="71"/>
      <c r="F14" s="95"/>
      <c r="G14" s="72"/>
    </row>
    <row r="15" spans="2:12" ht="25" customHeight="1" thickBot="1">
      <c r="B15" s="81" t="s">
        <v>38</v>
      </c>
      <c r="C15" s="89">
        <f>درامد!E8-منابع!D4</f>
        <v>1607716000</v>
      </c>
      <c r="D15" s="73"/>
      <c r="E15" s="74"/>
      <c r="F15" s="96"/>
      <c r="G15" s="90">
        <f>(C15/منابع!D4)*100</f>
        <v>41.076034747061826</v>
      </c>
      <c r="H15" s="162"/>
      <c r="I15" s="162"/>
      <c r="J15" s="162"/>
    </row>
    <row r="16" spans="2:12" ht="25" customHeight="1" thickTop="1">
      <c r="C16" s="75"/>
      <c r="D16" s="75"/>
      <c r="E16" s="75"/>
      <c r="F16" s="75"/>
      <c r="G16" s="109">
        <f>100-G3</f>
        <v>34.629750000000001</v>
      </c>
    </row>
    <row r="20" spans="2:7" ht="134.25" customHeight="1" thickBot="1"/>
    <row r="21" spans="2:7" ht="25" customHeight="1" thickTop="1">
      <c r="B21" s="19"/>
      <c r="C21" s="20" t="s">
        <v>55</v>
      </c>
      <c r="D21" s="20" t="s">
        <v>56</v>
      </c>
      <c r="E21" s="20" t="s">
        <v>57</v>
      </c>
      <c r="F21" s="20" t="s">
        <v>58</v>
      </c>
      <c r="G21" s="21" t="s">
        <v>59</v>
      </c>
    </row>
    <row r="22" spans="2:7" ht="25" customHeight="1">
      <c r="B22" s="22" t="s">
        <v>54</v>
      </c>
      <c r="C22" s="97">
        <f>'دستگاه 1'!C4</f>
        <v>455318</v>
      </c>
      <c r="D22" s="97">
        <f>'دستگاه 2'!C4</f>
        <v>206229</v>
      </c>
      <c r="E22" s="97">
        <f>دستگاه3!C4</f>
        <v>384377</v>
      </c>
      <c r="F22" s="97">
        <f>دستگاه4!C4</f>
        <v>0</v>
      </c>
      <c r="G22" s="98">
        <f>'دستگاه 5'!C4</f>
        <v>0</v>
      </c>
    </row>
    <row r="23" spans="2:7" ht="25" customHeight="1">
      <c r="B23" s="22" t="s">
        <v>60</v>
      </c>
      <c r="C23" s="37">
        <f>'دستگاه 1'!C3</f>
        <v>25</v>
      </c>
      <c r="D23" s="37">
        <f>'دستگاه 2'!C3</f>
        <v>26</v>
      </c>
      <c r="E23" s="37">
        <f>دستگاه3!C3</f>
        <v>27</v>
      </c>
      <c r="F23" s="37">
        <f>دستگاه4!C3</f>
        <v>0</v>
      </c>
      <c r="G23" s="107">
        <f>'دستگاه 5'!C3</f>
        <v>0</v>
      </c>
    </row>
    <row r="24" spans="2:7" ht="25" customHeight="1">
      <c r="B24" s="31" t="s">
        <v>62</v>
      </c>
      <c r="C24" s="108">
        <f>25-C23</f>
        <v>0</v>
      </c>
      <c r="D24" s="108">
        <f t="shared" ref="D24:G24" si="0">25-D23</f>
        <v>-1</v>
      </c>
      <c r="E24" s="108">
        <f t="shared" si="0"/>
        <v>-2</v>
      </c>
      <c r="F24" s="108">
        <f t="shared" si="0"/>
        <v>25</v>
      </c>
      <c r="G24" s="108">
        <f t="shared" si="0"/>
        <v>25</v>
      </c>
    </row>
    <row r="25" spans="2:7" ht="25" customHeight="1" thickBot="1">
      <c r="B25" s="25" t="s">
        <v>61</v>
      </c>
      <c r="C25" s="99">
        <f>C22/C23</f>
        <v>18212.72</v>
      </c>
      <c r="D25" s="99">
        <f>D22/D23</f>
        <v>7931.8846153846152</v>
      </c>
      <c r="E25" s="99">
        <f>E22/E23</f>
        <v>14236.185185185184</v>
      </c>
      <c r="F25" s="99" t="e">
        <f>F22/F23</f>
        <v>#DIV/0!</v>
      </c>
      <c r="G25" s="100" t="e">
        <f>G22/G23</f>
        <v>#DIV/0!</v>
      </c>
    </row>
    <row r="26" spans="2:7" ht="25" customHeight="1" thickTop="1"/>
  </sheetData>
  <mergeCells count="7">
    <mergeCell ref="H15:J15"/>
    <mergeCell ref="H3:J3"/>
    <mergeCell ref="H5:J5"/>
    <mergeCell ref="H7:J7"/>
    <mergeCell ref="H9:J9"/>
    <mergeCell ref="H11:J11"/>
    <mergeCell ref="H13:J13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5765-BA29-4019-8743-BB386CCC129B}">
  <dimension ref="B1:O18"/>
  <sheetViews>
    <sheetView rightToLeft="1" tabSelected="1" topLeftCell="B7" workbookViewId="0">
      <selection activeCell="J12" sqref="J12"/>
    </sheetView>
  </sheetViews>
  <sheetFormatPr defaultColWidth="15.7265625" defaultRowHeight="25" customHeight="1"/>
  <cols>
    <col min="1" max="1" width="5" customWidth="1"/>
    <col min="2" max="2" width="36.26953125" bestFit="1" customWidth="1"/>
    <col min="8" max="8" width="25.1796875" bestFit="1" customWidth="1"/>
    <col min="11" max="11" width="17.453125" bestFit="1" customWidth="1"/>
    <col min="12" max="12" width="35.26953125" bestFit="1" customWidth="1"/>
  </cols>
  <sheetData>
    <row r="1" spans="2:15" ht="25" customHeight="1" thickBot="1"/>
    <row r="2" spans="2:15" ht="25" customHeight="1" thickTop="1">
      <c r="B2" s="126"/>
      <c r="C2" s="127" t="s">
        <v>55</v>
      </c>
      <c r="D2" s="127" t="s">
        <v>56</v>
      </c>
      <c r="E2" s="127" t="s">
        <v>57</v>
      </c>
      <c r="F2" s="127" t="s">
        <v>58</v>
      </c>
      <c r="G2" s="128" t="s">
        <v>59</v>
      </c>
      <c r="I2" s="154" t="s">
        <v>10</v>
      </c>
      <c r="J2" s="155"/>
      <c r="K2" s="146">
        <v>612</v>
      </c>
      <c r="L2" t="s">
        <v>86</v>
      </c>
    </row>
    <row r="3" spans="2:15" ht="25" customHeight="1">
      <c r="B3" s="129" t="s">
        <v>60</v>
      </c>
      <c r="C3" s="139">
        <v>25</v>
      </c>
      <c r="D3" s="139">
        <v>26</v>
      </c>
      <c r="E3" s="139">
        <v>27</v>
      </c>
      <c r="F3" s="139">
        <v>0</v>
      </c>
      <c r="G3" s="139">
        <v>0</v>
      </c>
      <c r="H3" t="s">
        <v>84</v>
      </c>
      <c r="I3" s="156" t="s">
        <v>11</v>
      </c>
      <c r="J3" s="157"/>
      <c r="K3" s="147"/>
      <c r="L3" t="s">
        <v>87</v>
      </c>
    </row>
    <row r="4" spans="2:15" ht="25" customHeight="1">
      <c r="B4" s="129" t="s">
        <v>63</v>
      </c>
      <c r="C4" s="145">
        <v>455318</v>
      </c>
      <c r="D4" s="145">
        <v>206229</v>
      </c>
      <c r="E4" s="145">
        <v>384377</v>
      </c>
      <c r="F4" s="145">
        <v>0</v>
      </c>
      <c r="G4" s="145">
        <v>0</v>
      </c>
      <c r="I4" s="156" t="s">
        <v>12</v>
      </c>
      <c r="J4" s="157"/>
      <c r="K4" s="147" t="s">
        <v>77</v>
      </c>
    </row>
    <row r="5" spans="2:15" ht="25" customHeight="1">
      <c r="B5" s="129" t="s">
        <v>64</v>
      </c>
      <c r="C5" s="139">
        <v>1.53</v>
      </c>
      <c r="D5" s="139">
        <v>1.74</v>
      </c>
      <c r="E5" s="139">
        <v>1.58</v>
      </c>
      <c r="F5" s="139">
        <v>0</v>
      </c>
      <c r="G5" s="139">
        <v>0</v>
      </c>
      <c r="I5" s="135" t="s">
        <v>13</v>
      </c>
      <c r="J5" s="136"/>
      <c r="K5" s="147">
        <v>455000000</v>
      </c>
      <c r="L5" t="s">
        <v>82</v>
      </c>
    </row>
    <row r="6" spans="2:15" ht="25" customHeight="1">
      <c r="B6" s="129" t="s">
        <v>65</v>
      </c>
      <c r="C6" s="139">
        <v>0</v>
      </c>
      <c r="D6" s="139">
        <v>0</v>
      </c>
      <c r="E6" s="139">
        <v>0</v>
      </c>
      <c r="F6" s="139">
        <v>0</v>
      </c>
      <c r="G6" s="139">
        <v>0</v>
      </c>
      <c r="I6" s="135" t="s">
        <v>14</v>
      </c>
      <c r="J6" s="136"/>
      <c r="K6" s="147">
        <v>99000000</v>
      </c>
      <c r="L6" t="s">
        <v>78</v>
      </c>
    </row>
    <row r="7" spans="2:15" ht="25" customHeight="1">
      <c r="B7" s="129" t="s">
        <v>66</v>
      </c>
      <c r="C7" s="139">
        <v>0</v>
      </c>
      <c r="D7" s="139">
        <v>0</v>
      </c>
      <c r="E7" s="139">
        <v>0</v>
      </c>
      <c r="F7" s="139">
        <v>0</v>
      </c>
      <c r="G7" s="139">
        <v>0</v>
      </c>
      <c r="I7" s="156" t="s">
        <v>16</v>
      </c>
      <c r="J7" s="157"/>
      <c r="K7" s="147" t="s">
        <v>77</v>
      </c>
    </row>
    <row r="8" spans="2:15" ht="25" customHeight="1">
      <c r="B8" s="129" t="s">
        <v>67</v>
      </c>
      <c r="C8" s="139">
        <v>0.5</v>
      </c>
      <c r="D8" s="139">
        <v>1</v>
      </c>
      <c r="E8" s="139">
        <v>0</v>
      </c>
      <c r="F8" s="139">
        <v>0</v>
      </c>
      <c r="G8" s="139">
        <v>0</v>
      </c>
      <c r="I8" s="156" t="s">
        <v>17</v>
      </c>
      <c r="J8" s="157"/>
      <c r="K8" s="147">
        <v>1310000000</v>
      </c>
      <c r="L8" t="s">
        <v>81</v>
      </c>
    </row>
    <row r="9" spans="2:15" ht="25" customHeight="1" thickBot="1">
      <c r="B9" s="130" t="s">
        <v>68</v>
      </c>
      <c r="C9" s="140">
        <v>1</v>
      </c>
      <c r="D9" s="140">
        <v>4</v>
      </c>
      <c r="E9" s="140">
        <v>2</v>
      </c>
      <c r="F9" s="140">
        <v>27</v>
      </c>
      <c r="G9" s="140">
        <v>27</v>
      </c>
      <c r="H9" t="s">
        <v>83</v>
      </c>
      <c r="I9" s="152" t="s">
        <v>15</v>
      </c>
      <c r="J9" s="153"/>
      <c r="K9" s="148">
        <v>2050000000</v>
      </c>
      <c r="L9" t="s">
        <v>79</v>
      </c>
      <c r="M9" t="s">
        <v>80</v>
      </c>
    </row>
    <row r="10" spans="2:15" ht="25" customHeight="1" thickTop="1" thickBot="1"/>
    <row r="11" spans="2:15" ht="25" customHeight="1" thickTop="1">
      <c r="B11" s="126"/>
      <c r="C11" s="127" t="s">
        <v>71</v>
      </c>
      <c r="D11" s="127" t="s">
        <v>72</v>
      </c>
      <c r="E11" s="127" t="s">
        <v>73</v>
      </c>
      <c r="F11" s="127" t="s">
        <v>74</v>
      </c>
      <c r="G11" s="128" t="s">
        <v>75</v>
      </c>
      <c r="I11" s="131"/>
      <c r="J11" s="132" t="s">
        <v>42</v>
      </c>
    </row>
    <row r="12" spans="2:15" ht="25" customHeight="1">
      <c r="B12" s="137" t="s">
        <v>0</v>
      </c>
      <c r="C12" s="138"/>
      <c r="D12" s="138"/>
      <c r="E12" s="138"/>
      <c r="F12" s="138"/>
      <c r="G12" s="141">
        <v>4</v>
      </c>
      <c r="I12" s="133" t="s">
        <v>39</v>
      </c>
      <c r="J12" s="149">
        <v>206229</v>
      </c>
      <c r="O12" s="151"/>
    </row>
    <row r="13" spans="2:15" ht="25" customHeight="1">
      <c r="B13" s="129" t="s">
        <v>70</v>
      </c>
      <c r="C13" s="139">
        <v>64625</v>
      </c>
      <c r="D13" s="139">
        <v>4750</v>
      </c>
      <c r="E13" s="139">
        <v>37580</v>
      </c>
      <c r="F13" s="139">
        <v>11910</v>
      </c>
      <c r="G13" s="142">
        <v>118865</v>
      </c>
      <c r="I13" s="133" t="s">
        <v>40</v>
      </c>
      <c r="J13" s="149">
        <v>382484</v>
      </c>
      <c r="K13" s="151"/>
      <c r="O13" s="151"/>
    </row>
    <row r="14" spans="2:15" ht="25" customHeight="1">
      <c r="B14" s="129" t="s">
        <v>69</v>
      </c>
      <c r="C14" s="139"/>
      <c r="D14" s="139"/>
      <c r="E14" s="139"/>
      <c r="F14" s="139"/>
      <c r="G14" s="143">
        <v>0</v>
      </c>
      <c r="H14" t="s">
        <v>85</v>
      </c>
      <c r="I14" s="133" t="s">
        <v>41</v>
      </c>
      <c r="J14" s="149">
        <v>3965</v>
      </c>
      <c r="K14" s="151"/>
      <c r="O14" s="151"/>
    </row>
    <row r="15" spans="2:15" ht="25" customHeight="1">
      <c r="B15" s="129" t="s">
        <v>66</v>
      </c>
      <c r="C15" s="139"/>
      <c r="D15" s="139"/>
      <c r="E15" s="139"/>
      <c r="F15" s="139"/>
      <c r="G15" s="143">
        <v>0</v>
      </c>
      <c r="I15" s="133" t="s">
        <v>76</v>
      </c>
      <c r="J15" s="149">
        <v>118865</v>
      </c>
      <c r="O15" s="151"/>
    </row>
    <row r="16" spans="2:15" ht="25" customHeight="1" thickBot="1">
      <c r="B16" s="129" t="s">
        <v>67</v>
      </c>
      <c r="C16" s="139"/>
      <c r="D16" s="139"/>
      <c r="E16" s="139"/>
      <c r="F16" s="139"/>
      <c r="G16" s="143">
        <v>0</v>
      </c>
      <c r="I16" s="134"/>
      <c r="J16" s="150"/>
      <c r="O16" s="151"/>
    </row>
    <row r="17" spans="2:15" ht="25" customHeight="1" thickTop="1" thickBot="1">
      <c r="B17" s="130" t="s">
        <v>68</v>
      </c>
      <c r="C17" s="140"/>
      <c r="D17" s="140"/>
      <c r="E17" s="140"/>
      <c r="F17" s="140"/>
      <c r="G17" s="144">
        <v>22</v>
      </c>
      <c r="O17" s="151"/>
    </row>
    <row r="18" spans="2:15" ht="25" customHeight="1" thickTop="1"/>
  </sheetData>
  <mergeCells count="6">
    <mergeCell ref="I9:J9"/>
    <mergeCell ref="I2:J2"/>
    <mergeCell ref="I3:J3"/>
    <mergeCell ref="I4:J4"/>
    <mergeCell ref="I7:J7"/>
    <mergeCell ref="I8:J8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0F3C-9064-4BBF-83B8-42EDD929B49D}">
  <dimension ref="B2:E12"/>
  <sheetViews>
    <sheetView rightToLeft="1" workbookViewId="0">
      <selection activeCell="K13" sqref="K13"/>
    </sheetView>
  </sheetViews>
  <sheetFormatPr defaultColWidth="15.7265625" defaultRowHeight="25" customHeight="1"/>
  <cols>
    <col min="1" max="1" width="10.7265625" customWidth="1"/>
    <col min="2" max="2" width="35.7265625" customWidth="1"/>
  </cols>
  <sheetData>
    <row r="2" spans="2:5" ht="25" customHeight="1" thickBot="1"/>
    <row r="3" spans="2:5" ht="25" customHeight="1" thickTop="1">
      <c r="B3" s="8" t="s">
        <v>0</v>
      </c>
      <c r="C3" s="52">
        <f>ورودی!C3</f>
        <v>25</v>
      </c>
      <c r="D3" s="11"/>
      <c r="E3" s="12"/>
    </row>
    <row r="4" spans="2:5" ht="25" customHeight="1">
      <c r="B4" s="9" t="s">
        <v>3</v>
      </c>
      <c r="C4" s="53">
        <f>ورودی!C4</f>
        <v>455318</v>
      </c>
      <c r="D4" s="13"/>
      <c r="E4" s="14"/>
    </row>
    <row r="5" spans="2:5" ht="25" customHeight="1">
      <c r="B5" s="9" t="s">
        <v>4</v>
      </c>
      <c r="C5" s="53">
        <f>ورودی!C5</f>
        <v>1.53</v>
      </c>
      <c r="D5" s="13"/>
      <c r="E5" s="14"/>
    </row>
    <row r="6" spans="2:5" ht="25" customHeight="1">
      <c r="B6" s="9" t="s">
        <v>5</v>
      </c>
      <c r="C6" s="13">
        <f>SUM(C8:C10)</f>
        <v>1.5</v>
      </c>
      <c r="D6" s="13"/>
      <c r="E6" s="14"/>
    </row>
    <row r="7" spans="2:5" ht="25" customHeight="1" thickBot="1">
      <c r="B7" s="9" t="s">
        <v>6</v>
      </c>
      <c r="C7" s="53">
        <f>ورودی!C6</f>
        <v>0</v>
      </c>
      <c r="D7" s="13"/>
      <c r="E7" s="14"/>
    </row>
    <row r="8" spans="2:5" ht="25" customHeight="1" thickTop="1">
      <c r="B8" s="19" t="s">
        <v>34</v>
      </c>
      <c r="C8" s="52">
        <f>ورودی!C9</f>
        <v>1</v>
      </c>
      <c r="D8" s="11"/>
      <c r="E8" s="12"/>
    </row>
    <row r="9" spans="2:5" ht="25" customHeight="1">
      <c r="B9" s="22" t="s">
        <v>35</v>
      </c>
      <c r="C9" s="53">
        <f>ورودی!C8</f>
        <v>0.5</v>
      </c>
      <c r="D9" s="13"/>
      <c r="E9" s="14"/>
    </row>
    <row r="10" spans="2:5" ht="25" customHeight="1">
      <c r="B10" s="22" t="s">
        <v>36</v>
      </c>
      <c r="C10" s="53">
        <f>ورودی!C7</f>
        <v>0</v>
      </c>
      <c r="D10" s="13"/>
      <c r="E10" s="14"/>
    </row>
    <row r="11" spans="2:5" ht="25" customHeight="1" thickBot="1">
      <c r="B11" s="30"/>
      <c r="C11" s="15"/>
      <c r="D11" s="15"/>
      <c r="E11" s="16"/>
    </row>
    <row r="12" spans="2:5" ht="25" customHeight="1" thickTop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D2A1-E6B9-41EF-BA60-412B929B0FCE}">
  <dimension ref="B2:G25"/>
  <sheetViews>
    <sheetView rightToLeft="1" workbookViewId="0">
      <selection activeCell="C3" sqref="C3"/>
    </sheetView>
  </sheetViews>
  <sheetFormatPr defaultColWidth="23.26953125" defaultRowHeight="25" customHeight="1"/>
  <cols>
    <col min="1" max="1" width="8.7265625" customWidth="1"/>
    <col min="2" max="2" width="36.81640625" customWidth="1"/>
    <col min="3" max="3" width="14.26953125" customWidth="1"/>
    <col min="4" max="4" width="15.26953125" customWidth="1"/>
    <col min="5" max="5" width="14.7265625" customWidth="1"/>
  </cols>
  <sheetData>
    <row r="2" spans="2:5" ht="25" customHeight="1" thickBot="1"/>
    <row r="3" spans="2:5" ht="25" customHeight="1" thickTop="1" thickBot="1">
      <c r="B3" s="8" t="s">
        <v>0</v>
      </c>
      <c r="C3" s="58">
        <f>ورودی!D3</f>
        <v>26</v>
      </c>
      <c r="D3" s="11"/>
      <c r="E3" s="12"/>
    </row>
    <row r="4" spans="2:5" ht="25" customHeight="1" thickTop="1" thickBot="1">
      <c r="B4" s="9" t="s">
        <v>3</v>
      </c>
      <c r="C4" s="58">
        <f>ورودی!D4</f>
        <v>206229</v>
      </c>
      <c r="D4" s="13"/>
      <c r="E4" s="14"/>
    </row>
    <row r="5" spans="2:5" ht="25" customHeight="1" thickTop="1">
      <c r="B5" s="9" t="s">
        <v>4</v>
      </c>
      <c r="C5" s="58">
        <f>ورودی!D5</f>
        <v>1.74</v>
      </c>
      <c r="D5" s="13"/>
      <c r="E5" s="14"/>
    </row>
    <row r="6" spans="2:5" ht="25" customHeight="1">
      <c r="B6" s="9" t="s">
        <v>5</v>
      </c>
      <c r="C6" s="59">
        <f>SUM(C8:C10)</f>
        <v>5</v>
      </c>
      <c r="D6" s="13"/>
      <c r="E6" s="14"/>
    </row>
    <row r="7" spans="2:5" ht="25" customHeight="1" thickBot="1">
      <c r="B7" s="9" t="s">
        <v>6</v>
      </c>
      <c r="C7" s="57">
        <f>ورودی!D6</f>
        <v>0</v>
      </c>
      <c r="D7" s="13"/>
      <c r="E7" s="14"/>
    </row>
    <row r="8" spans="2:5" ht="25" customHeight="1" thickTop="1">
      <c r="B8" s="19" t="s">
        <v>34</v>
      </c>
      <c r="C8" s="58">
        <f>ورودی!D9</f>
        <v>4</v>
      </c>
      <c r="D8" s="1"/>
      <c r="E8" s="2"/>
    </row>
    <row r="9" spans="2:5" ht="25" customHeight="1">
      <c r="B9" s="22" t="s">
        <v>35</v>
      </c>
      <c r="C9" s="57">
        <f>ورودی!D7</f>
        <v>0</v>
      </c>
      <c r="D9" s="3"/>
      <c r="E9" s="4"/>
    </row>
    <row r="10" spans="2:5" ht="25" customHeight="1">
      <c r="B10" s="22" t="s">
        <v>36</v>
      </c>
      <c r="C10" s="57">
        <f>ورودی!D8</f>
        <v>1</v>
      </c>
      <c r="D10" s="3"/>
      <c r="E10" s="4"/>
    </row>
    <row r="11" spans="2:5" ht="25" customHeight="1" thickBot="1">
      <c r="B11" s="5"/>
      <c r="C11" s="60"/>
      <c r="D11" s="6"/>
      <c r="E11" s="7"/>
    </row>
    <row r="12" spans="2:5" ht="25" customHeight="1" thickTop="1"/>
    <row r="25" spans="7:7" ht="25" customHeight="1">
      <c r="G25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F242-43E4-4DF0-8581-86EFF3BDC493}">
  <dimension ref="B2:E12"/>
  <sheetViews>
    <sheetView rightToLeft="1" workbookViewId="0">
      <selection activeCell="C11" sqref="C11"/>
    </sheetView>
  </sheetViews>
  <sheetFormatPr defaultColWidth="23.453125" defaultRowHeight="25" customHeight="1"/>
  <cols>
    <col min="1" max="1" width="10.453125" customWidth="1"/>
    <col min="2" max="2" width="36" customWidth="1"/>
    <col min="3" max="3" width="14.54296875" customWidth="1"/>
    <col min="4" max="4" width="16.453125" customWidth="1"/>
    <col min="5" max="5" width="15.54296875" customWidth="1"/>
  </cols>
  <sheetData>
    <row r="2" spans="2:5" ht="25" customHeight="1" thickBot="1"/>
    <row r="3" spans="2:5" ht="25" customHeight="1" thickTop="1" thickBot="1">
      <c r="B3" s="8" t="s">
        <v>0</v>
      </c>
      <c r="C3" s="52">
        <f>ورودی!E3</f>
        <v>27</v>
      </c>
      <c r="D3" s="11"/>
      <c r="E3" s="12"/>
    </row>
    <row r="4" spans="2:5" ht="25" customHeight="1" thickTop="1" thickBot="1">
      <c r="B4" s="9" t="s">
        <v>3</v>
      </c>
      <c r="C4" s="52">
        <f>ورودی!E4</f>
        <v>384377</v>
      </c>
      <c r="D4" s="13"/>
      <c r="E4" s="14"/>
    </row>
    <row r="5" spans="2:5" ht="25" customHeight="1" thickTop="1">
      <c r="B5" s="9" t="s">
        <v>4</v>
      </c>
      <c r="C5" s="52">
        <f>ورودی!E5</f>
        <v>1.58</v>
      </c>
      <c r="D5" s="13"/>
      <c r="E5" s="14"/>
    </row>
    <row r="6" spans="2:5" ht="25" customHeight="1">
      <c r="B6" s="9" t="s">
        <v>5</v>
      </c>
      <c r="C6" s="13">
        <f>SUM(C8:C10)</f>
        <v>2</v>
      </c>
      <c r="D6" s="13"/>
      <c r="E6" s="14"/>
    </row>
    <row r="7" spans="2:5" ht="25" customHeight="1" thickBot="1">
      <c r="B7" s="9" t="s">
        <v>6</v>
      </c>
      <c r="C7" s="53">
        <f>ورودی!E6</f>
        <v>0</v>
      </c>
      <c r="D7" s="13"/>
      <c r="E7" s="14"/>
    </row>
    <row r="8" spans="2:5" ht="25" customHeight="1" thickTop="1">
      <c r="B8" s="19" t="s">
        <v>34</v>
      </c>
      <c r="C8" s="52">
        <f>ورودی!E9</f>
        <v>2</v>
      </c>
      <c r="D8" s="1"/>
      <c r="E8" s="2"/>
    </row>
    <row r="9" spans="2:5" ht="25" customHeight="1">
      <c r="B9" s="22" t="s">
        <v>35</v>
      </c>
      <c r="C9" s="53">
        <f>ورودی!E7</f>
        <v>0</v>
      </c>
      <c r="D9" s="3"/>
      <c r="E9" s="4"/>
    </row>
    <row r="10" spans="2:5" ht="25" customHeight="1">
      <c r="B10" s="22" t="s">
        <v>36</v>
      </c>
      <c r="C10" s="53">
        <f>ورودی!E8</f>
        <v>0</v>
      </c>
      <c r="D10" s="3"/>
      <c r="E10" s="4"/>
    </row>
    <row r="11" spans="2:5" ht="25" customHeight="1" thickBot="1">
      <c r="B11" s="5"/>
      <c r="C11" s="6"/>
      <c r="D11" s="6"/>
      <c r="E11" s="7"/>
    </row>
    <row r="12" spans="2:5" ht="25" customHeight="1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A84B-59DC-4AC0-A1DD-EC833DA45598}">
  <dimension ref="B2:E11"/>
  <sheetViews>
    <sheetView rightToLeft="1" workbookViewId="0">
      <selection activeCell="C11" sqref="C11"/>
    </sheetView>
  </sheetViews>
  <sheetFormatPr defaultColWidth="33.54296875" defaultRowHeight="25" customHeight="1"/>
  <cols>
    <col min="1" max="1" width="9.1796875" customWidth="1"/>
    <col min="2" max="2" width="38.453125" customWidth="1"/>
    <col min="3" max="3" width="14.54296875" customWidth="1"/>
    <col min="4" max="4" width="13.453125" customWidth="1"/>
    <col min="5" max="5" width="14.7265625" customWidth="1"/>
  </cols>
  <sheetData>
    <row r="2" spans="2:5" ht="25" customHeight="1" thickBot="1"/>
    <row r="3" spans="2:5" ht="25" customHeight="1" thickTop="1" thickBot="1">
      <c r="B3" s="8" t="s">
        <v>0</v>
      </c>
      <c r="C3" s="52">
        <f>ورودی!F3</f>
        <v>0</v>
      </c>
      <c r="D3" s="11"/>
      <c r="E3" s="12"/>
    </row>
    <row r="4" spans="2:5" ht="25" customHeight="1" thickTop="1" thickBot="1">
      <c r="B4" s="9" t="s">
        <v>3</v>
      </c>
      <c r="C4" s="52">
        <f>ورودی!F4</f>
        <v>0</v>
      </c>
      <c r="D4" s="13"/>
      <c r="E4" s="14"/>
    </row>
    <row r="5" spans="2:5" ht="25" customHeight="1" thickTop="1">
      <c r="B5" s="9" t="s">
        <v>4</v>
      </c>
      <c r="C5" s="52">
        <f>ورودی!F5</f>
        <v>0</v>
      </c>
      <c r="D5" s="13"/>
      <c r="E5" s="14"/>
    </row>
    <row r="6" spans="2:5" ht="25" customHeight="1">
      <c r="B6" s="9" t="s">
        <v>5</v>
      </c>
      <c r="C6" s="13">
        <f>SUM(C8:C10)</f>
        <v>27</v>
      </c>
      <c r="D6" s="13"/>
      <c r="E6" s="14"/>
    </row>
    <row r="7" spans="2:5" ht="25" customHeight="1" thickBot="1">
      <c r="B7" s="9" t="s">
        <v>6</v>
      </c>
      <c r="C7" s="53">
        <f>ورودی!F6</f>
        <v>0</v>
      </c>
      <c r="D7" s="13"/>
      <c r="E7" s="14"/>
    </row>
    <row r="8" spans="2:5" ht="25" customHeight="1" thickTop="1">
      <c r="B8" s="19" t="s">
        <v>34</v>
      </c>
      <c r="C8" s="53">
        <f>ورودی!F9</f>
        <v>27</v>
      </c>
      <c r="D8" s="13"/>
      <c r="E8" s="14"/>
    </row>
    <row r="9" spans="2:5" ht="25" customHeight="1">
      <c r="B9" s="22" t="s">
        <v>35</v>
      </c>
      <c r="C9" s="53">
        <f>ورودی!F7</f>
        <v>0</v>
      </c>
      <c r="D9" s="13"/>
      <c r="E9" s="14"/>
    </row>
    <row r="10" spans="2:5" ht="25" customHeight="1" thickBot="1">
      <c r="B10" s="22" t="s">
        <v>36</v>
      </c>
      <c r="C10" s="54">
        <f>ورودی!F8</f>
        <v>0</v>
      </c>
      <c r="D10" s="15"/>
      <c r="E10" s="16"/>
    </row>
    <row r="11" spans="2:5" ht="25" customHeight="1" thickTop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A134-ABF2-43CF-AA33-43C433C457C8}">
  <dimension ref="B2:E12"/>
  <sheetViews>
    <sheetView rightToLeft="1" workbookViewId="0">
      <selection activeCell="C12" sqref="C12"/>
    </sheetView>
  </sheetViews>
  <sheetFormatPr defaultColWidth="12.7265625" defaultRowHeight="25" customHeight="1"/>
  <cols>
    <col min="2" max="2" width="34.7265625" customWidth="1"/>
  </cols>
  <sheetData>
    <row r="2" spans="2:5" ht="25" customHeight="1" thickBot="1"/>
    <row r="3" spans="2:5" ht="25" customHeight="1" thickTop="1" thickBot="1">
      <c r="B3" s="8" t="s">
        <v>0</v>
      </c>
      <c r="C3" s="52">
        <f>ورودی!G3</f>
        <v>0</v>
      </c>
      <c r="D3" s="11"/>
      <c r="E3" s="12"/>
    </row>
    <row r="4" spans="2:5" ht="25" customHeight="1" thickTop="1" thickBot="1">
      <c r="B4" s="9" t="s">
        <v>3</v>
      </c>
      <c r="C4" s="52">
        <f>ورودی!G4</f>
        <v>0</v>
      </c>
      <c r="D4" s="13"/>
      <c r="E4" s="14"/>
    </row>
    <row r="5" spans="2:5" ht="25" customHeight="1" thickTop="1">
      <c r="B5" s="9" t="s">
        <v>50</v>
      </c>
      <c r="C5" s="52">
        <f>ورودی!G5</f>
        <v>0</v>
      </c>
      <c r="D5" s="13"/>
      <c r="E5" s="14"/>
    </row>
    <row r="6" spans="2:5" ht="25" customHeight="1">
      <c r="B6" s="9" t="s">
        <v>5</v>
      </c>
      <c r="C6" s="13">
        <f>SUM(C8:C10)</f>
        <v>27</v>
      </c>
      <c r="D6" s="13"/>
      <c r="E6" s="14"/>
    </row>
    <row r="7" spans="2:5" ht="25" customHeight="1" thickBot="1">
      <c r="B7" s="9" t="s">
        <v>6</v>
      </c>
      <c r="C7" s="53">
        <f>ورودی!G6</f>
        <v>0</v>
      </c>
      <c r="D7" s="13"/>
      <c r="E7" s="14"/>
    </row>
    <row r="8" spans="2:5" ht="25" customHeight="1" thickTop="1">
      <c r="B8" s="19" t="s">
        <v>34</v>
      </c>
      <c r="C8" s="53">
        <f>ورودی!G9</f>
        <v>27</v>
      </c>
      <c r="D8" s="13"/>
      <c r="E8" s="14"/>
    </row>
    <row r="9" spans="2:5" ht="25" customHeight="1">
      <c r="B9" s="22" t="s">
        <v>35</v>
      </c>
      <c r="C9" s="53">
        <f>ورودی!G7</f>
        <v>0</v>
      </c>
      <c r="D9" s="13"/>
      <c r="E9" s="14"/>
    </row>
    <row r="10" spans="2:5" ht="25" customHeight="1" thickBot="1">
      <c r="B10" s="31" t="s">
        <v>36</v>
      </c>
      <c r="C10" s="55">
        <f>ورودی!G8</f>
        <v>0</v>
      </c>
      <c r="D10" s="32"/>
      <c r="E10" s="33"/>
    </row>
    <row r="11" spans="2:5" ht="25" customHeight="1" thickTop="1" thickBot="1">
      <c r="B11" s="34"/>
      <c r="C11" s="56"/>
      <c r="D11" s="35"/>
      <c r="E11" s="36"/>
    </row>
    <row r="12" spans="2:5" ht="25" customHeight="1" thickTop="1">
      <c r="C12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CD60-3417-4C7D-A991-4C714E49ECEE}">
  <dimension ref="A1:E10"/>
  <sheetViews>
    <sheetView rightToLeft="1" workbookViewId="0">
      <selection activeCell="C10" sqref="C10"/>
    </sheetView>
  </sheetViews>
  <sheetFormatPr defaultRowHeight="25" customHeight="1"/>
  <cols>
    <col min="2" max="2" width="37.81640625" customWidth="1"/>
    <col min="3" max="3" width="12.7265625" customWidth="1"/>
    <col min="4" max="4" width="14.26953125" customWidth="1"/>
    <col min="5" max="5" width="10.7265625" customWidth="1"/>
  </cols>
  <sheetData>
    <row r="1" spans="1:5" ht="25" customHeight="1">
      <c r="A1" t="s">
        <v>2</v>
      </c>
    </row>
    <row r="2" spans="1:5" ht="25" customHeight="1" thickBot="1"/>
    <row r="3" spans="1:5" ht="25" customHeight="1" thickTop="1" thickBot="1">
      <c r="B3" s="8" t="s">
        <v>0</v>
      </c>
      <c r="C3" s="52">
        <f>ورودی!G12</f>
        <v>4</v>
      </c>
      <c r="D3" s="11"/>
      <c r="E3" s="12"/>
    </row>
    <row r="4" spans="1:5" ht="25" customHeight="1" thickTop="1" thickBot="1">
      <c r="B4" s="9" t="s">
        <v>7</v>
      </c>
      <c r="C4" s="52">
        <f>ورودی!G13</f>
        <v>118865</v>
      </c>
      <c r="D4" s="13"/>
      <c r="E4" s="14"/>
    </row>
    <row r="5" spans="1:5" ht="25" customHeight="1" thickTop="1">
      <c r="B5" s="9" t="s">
        <v>4</v>
      </c>
      <c r="C5" s="52">
        <f>ورودی!G14</f>
        <v>0</v>
      </c>
      <c r="D5" s="13"/>
      <c r="E5" s="14"/>
    </row>
    <row r="6" spans="1:5" ht="25" customHeight="1">
      <c r="B6" s="9" t="s">
        <v>5</v>
      </c>
      <c r="C6" s="13">
        <f>SUM(C7:C9)</f>
        <v>22</v>
      </c>
      <c r="D6" s="13"/>
      <c r="E6" s="14"/>
    </row>
    <row r="7" spans="1:5" ht="25" customHeight="1">
      <c r="B7" s="22" t="s">
        <v>34</v>
      </c>
      <c r="C7" s="53">
        <f>ورودی!G17</f>
        <v>22</v>
      </c>
      <c r="D7" s="13"/>
      <c r="E7" s="14"/>
    </row>
    <row r="8" spans="1:5" ht="25" customHeight="1">
      <c r="B8" s="22" t="s">
        <v>35</v>
      </c>
      <c r="C8" s="53">
        <f>ورودی!G15</f>
        <v>0</v>
      </c>
      <c r="D8" s="13"/>
      <c r="E8" s="14"/>
    </row>
    <row r="9" spans="1:5" ht="25" customHeight="1" thickBot="1">
      <c r="B9" s="25" t="s">
        <v>37</v>
      </c>
      <c r="C9" s="54">
        <f>ورودی!G16</f>
        <v>0</v>
      </c>
      <c r="D9" s="15"/>
      <c r="E9" s="16"/>
    </row>
    <row r="10" spans="1:5" ht="25" customHeight="1" thickTop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B21F-CF41-4BA8-BA0D-9591F6E9A982}">
  <dimension ref="B2:G25"/>
  <sheetViews>
    <sheetView rightToLeft="1" topLeftCell="A7" zoomScale="112" zoomScaleNormal="112" workbookViewId="0">
      <selection activeCell="C3" sqref="C3:C10"/>
    </sheetView>
  </sheetViews>
  <sheetFormatPr defaultColWidth="15.7265625" defaultRowHeight="25" customHeight="1"/>
  <cols>
    <col min="2" max="2" width="24.1796875" customWidth="1"/>
    <col min="3" max="3" width="15.54296875" customWidth="1"/>
  </cols>
  <sheetData>
    <row r="2" spans="2:7" ht="25" customHeight="1" thickBot="1"/>
    <row r="3" spans="2:7" ht="25" customHeight="1" thickTop="1" thickBot="1">
      <c r="B3" s="19" t="s">
        <v>10</v>
      </c>
      <c r="C3" s="51">
        <f>ورودی!K2</f>
        <v>612</v>
      </c>
      <c r="D3" s="20"/>
      <c r="E3" s="21"/>
      <c r="F3" s="18"/>
      <c r="G3" s="18"/>
    </row>
    <row r="4" spans="2:7" ht="25" customHeight="1" thickTop="1" thickBot="1">
      <c r="B4" s="22" t="s">
        <v>11</v>
      </c>
      <c r="C4" s="51">
        <f>ورودی!K3</f>
        <v>0</v>
      </c>
      <c r="D4" s="163">
        <f>SUM(C4:C10)</f>
        <v>3914000000</v>
      </c>
      <c r="E4" s="28"/>
      <c r="F4" s="18"/>
      <c r="G4" s="18"/>
    </row>
    <row r="5" spans="2:7" ht="25" customHeight="1" thickTop="1" thickBot="1">
      <c r="B5" s="22" t="s">
        <v>12</v>
      </c>
      <c r="C5" s="51" t="str">
        <f>ورودی!K4</f>
        <v>-</v>
      </c>
      <c r="D5" s="164"/>
      <c r="E5" s="28"/>
      <c r="F5" s="18"/>
      <c r="G5" s="18"/>
    </row>
    <row r="6" spans="2:7" ht="25" customHeight="1" thickTop="1" thickBot="1">
      <c r="B6" s="22" t="s">
        <v>13</v>
      </c>
      <c r="C6" s="51">
        <f>ورودی!K5</f>
        <v>455000000</v>
      </c>
      <c r="D6" s="164"/>
      <c r="E6" s="28"/>
      <c r="F6" s="18"/>
      <c r="G6" s="18"/>
    </row>
    <row r="7" spans="2:7" ht="25" customHeight="1" thickTop="1" thickBot="1">
      <c r="B7" s="22" t="s">
        <v>14</v>
      </c>
      <c r="C7" s="51">
        <f>ورودی!K6</f>
        <v>99000000</v>
      </c>
      <c r="D7" s="164"/>
      <c r="E7" s="28"/>
      <c r="F7" s="18"/>
      <c r="G7" s="18"/>
    </row>
    <row r="8" spans="2:7" ht="25" customHeight="1" thickTop="1" thickBot="1">
      <c r="B8" s="22" t="s">
        <v>16</v>
      </c>
      <c r="C8" s="51" t="str">
        <f>ورودی!K7</f>
        <v>-</v>
      </c>
      <c r="D8" s="164"/>
      <c r="E8" s="28"/>
      <c r="F8" s="18"/>
      <c r="G8" s="18"/>
    </row>
    <row r="9" spans="2:7" ht="25" customHeight="1" thickTop="1" thickBot="1">
      <c r="B9" s="22" t="s">
        <v>17</v>
      </c>
      <c r="C9" s="51">
        <f>ورودی!K8</f>
        <v>1310000000</v>
      </c>
      <c r="D9" s="164"/>
      <c r="E9" s="28"/>
      <c r="F9" s="18"/>
      <c r="G9" s="18"/>
    </row>
    <row r="10" spans="2:7" ht="25" customHeight="1" thickTop="1" thickBot="1">
      <c r="B10" s="25" t="s">
        <v>15</v>
      </c>
      <c r="C10" s="51">
        <f>ورودی!K9</f>
        <v>2050000000</v>
      </c>
      <c r="D10" s="165"/>
      <c r="E10" s="29"/>
      <c r="F10" s="18"/>
      <c r="G10" s="18"/>
    </row>
    <row r="11" spans="2:7" ht="25" customHeight="1" thickTop="1">
      <c r="B11" s="18"/>
      <c r="C11" s="18"/>
      <c r="D11" s="18"/>
      <c r="E11" s="18"/>
      <c r="F11" s="18"/>
      <c r="G11" s="18"/>
    </row>
    <row r="12" spans="2:7" ht="25" customHeight="1">
      <c r="B12" s="18"/>
      <c r="C12" s="18"/>
      <c r="D12" s="18"/>
      <c r="E12" s="18"/>
      <c r="F12" s="18"/>
      <c r="G12" s="18"/>
    </row>
    <row r="17" spans="2:7" ht="25" customHeight="1" thickBot="1"/>
    <row r="18" spans="2:7" ht="25" customHeight="1" thickTop="1">
      <c r="B18" s="101" t="s">
        <v>52</v>
      </c>
      <c r="C18" s="166">
        <f>درامد!E8</f>
        <v>5521716000</v>
      </c>
      <c r="D18" s="167"/>
    </row>
    <row r="19" spans="2:7" ht="25" customHeight="1" thickBot="1">
      <c r="B19" s="5" t="s">
        <v>53</v>
      </c>
      <c r="C19" s="168">
        <f>منابع!D4</f>
        <v>3914000000</v>
      </c>
      <c r="D19" s="169"/>
    </row>
    <row r="20" spans="2:7" ht="25" customHeight="1" thickTop="1" thickBot="1"/>
    <row r="21" spans="2:7" ht="25" customHeight="1" thickTop="1">
      <c r="B21" s="101"/>
      <c r="C21" s="103" t="s">
        <v>55</v>
      </c>
      <c r="D21" s="103" t="s">
        <v>56</v>
      </c>
      <c r="E21" s="103" t="s">
        <v>57</v>
      </c>
      <c r="F21" s="103" t="s">
        <v>58</v>
      </c>
      <c r="G21" s="104" t="s">
        <v>59</v>
      </c>
    </row>
    <row r="22" spans="2:7" ht="25" customHeight="1">
      <c r="B22" s="102" t="s">
        <v>54</v>
      </c>
      <c r="C22" s="97">
        <f>'دستگاه 1'!C4</f>
        <v>455318</v>
      </c>
      <c r="D22" s="97">
        <f>'دستگاه 2'!C4</f>
        <v>206229</v>
      </c>
      <c r="E22" s="97">
        <f>دستگاه3!C4</f>
        <v>384377</v>
      </c>
      <c r="F22" s="97">
        <f>دستگاه4!C4</f>
        <v>0</v>
      </c>
      <c r="G22" s="98">
        <f>'دستگاه 5'!C4</f>
        <v>0</v>
      </c>
    </row>
    <row r="23" spans="2:7" ht="25" customHeight="1">
      <c r="B23" s="102" t="s">
        <v>60</v>
      </c>
      <c r="C23" s="97">
        <f>'دستگاه 1'!C3</f>
        <v>25</v>
      </c>
      <c r="D23" s="97">
        <f>'دستگاه 2'!C3</f>
        <v>26</v>
      </c>
      <c r="E23" s="97">
        <f>دستگاه3!C3</f>
        <v>27</v>
      </c>
      <c r="F23" s="97">
        <f>دستگاه4!C3</f>
        <v>0</v>
      </c>
      <c r="G23" s="98">
        <f>'دستگاه 5'!C3</f>
        <v>0</v>
      </c>
    </row>
    <row r="24" spans="2:7" ht="25" customHeight="1" thickBot="1">
      <c r="B24" s="5" t="s">
        <v>61</v>
      </c>
      <c r="C24" s="99">
        <f>C22/C23</f>
        <v>18212.72</v>
      </c>
      <c r="D24" s="99">
        <f t="shared" ref="D24:G24" si="0">D22/D23</f>
        <v>7931.8846153846152</v>
      </c>
      <c r="E24" s="99">
        <f t="shared" si="0"/>
        <v>14236.185185185184</v>
      </c>
      <c r="F24" s="99" t="e">
        <f t="shared" si="0"/>
        <v>#DIV/0!</v>
      </c>
      <c r="G24" s="100" t="e">
        <f t="shared" si="0"/>
        <v>#DIV/0!</v>
      </c>
    </row>
    <row r="25" spans="2:7" ht="25" customHeight="1" thickTop="1"/>
  </sheetData>
  <mergeCells count="3">
    <mergeCell ref="D4:D10"/>
    <mergeCell ref="C18:D18"/>
    <mergeCell ref="C19:D19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BBE7-C647-4FB8-BFA2-13D6B27FF88D}">
  <dimension ref="B2:G18"/>
  <sheetViews>
    <sheetView rightToLeft="1" workbookViewId="0">
      <selection activeCell="H10" sqref="H10"/>
    </sheetView>
  </sheetViews>
  <sheetFormatPr defaultColWidth="15.7265625" defaultRowHeight="25" customHeight="1"/>
  <cols>
    <col min="3" max="4" width="15.81640625" bestFit="1" customWidth="1"/>
    <col min="5" max="5" width="17.453125" bestFit="1" customWidth="1"/>
  </cols>
  <sheetData>
    <row r="2" spans="2:7" ht="25" customHeight="1" thickBot="1"/>
    <row r="3" spans="2:7" ht="25" customHeight="1" thickTop="1">
      <c r="B3" s="43"/>
      <c r="C3" s="44" t="s">
        <v>42</v>
      </c>
      <c r="D3" s="44" t="s">
        <v>43</v>
      </c>
      <c r="E3" s="44" t="s">
        <v>44</v>
      </c>
      <c r="F3" s="1"/>
      <c r="G3" s="45" t="s">
        <v>51</v>
      </c>
    </row>
    <row r="4" spans="2:7" ht="25" customHeight="1">
      <c r="B4" s="46" t="s">
        <v>39</v>
      </c>
      <c r="C4" s="50">
        <f>ورودی!J12</f>
        <v>206229</v>
      </c>
      <c r="D4" s="37">
        <v>4000</v>
      </c>
      <c r="E4" s="37">
        <f>D4*C4</f>
        <v>824916000</v>
      </c>
      <c r="F4" s="3"/>
      <c r="G4" s="47">
        <f>C4</f>
        <v>206229</v>
      </c>
    </row>
    <row r="5" spans="2:7" ht="25" customHeight="1">
      <c r="B5" s="46" t="s">
        <v>40</v>
      </c>
      <c r="C5" s="50">
        <f>ورودی!J13</f>
        <v>382484</v>
      </c>
      <c r="D5" s="37">
        <v>10000</v>
      </c>
      <c r="E5" s="37">
        <f t="shared" ref="E5:E7" si="0">D5*C5</f>
        <v>3824840000</v>
      </c>
      <c r="F5" s="3"/>
      <c r="G5" s="47">
        <f>C5*2.1</f>
        <v>803216.4</v>
      </c>
    </row>
    <row r="6" spans="2:7" ht="25" customHeight="1">
      <c r="B6" s="46" t="s">
        <v>41</v>
      </c>
      <c r="C6" s="50">
        <f>ورودی!J14</f>
        <v>3965</v>
      </c>
      <c r="D6" s="37">
        <v>100000</v>
      </c>
      <c r="E6" s="37">
        <f t="shared" si="0"/>
        <v>396500000</v>
      </c>
      <c r="F6" s="3"/>
      <c r="G6" s="47">
        <f>C6*9.2</f>
        <v>36478</v>
      </c>
    </row>
    <row r="7" spans="2:7" ht="25" customHeight="1">
      <c r="B7" s="46" t="s">
        <v>2</v>
      </c>
      <c r="C7" s="50">
        <f>ورودی!J15</f>
        <v>118865</v>
      </c>
      <c r="D7" s="37">
        <v>4000</v>
      </c>
      <c r="E7" s="37">
        <f t="shared" si="0"/>
        <v>475460000</v>
      </c>
      <c r="F7" s="3"/>
      <c r="G7" s="4">
        <v>0</v>
      </c>
    </row>
    <row r="8" spans="2:7" ht="25" customHeight="1" thickBot="1">
      <c r="B8" s="48"/>
      <c r="C8" s="38"/>
      <c r="D8" s="38"/>
      <c r="E8" s="38">
        <f>SUM(E4:E7)</f>
        <v>5521716000</v>
      </c>
      <c r="F8" s="6"/>
      <c r="G8" s="49">
        <f>SUM(G4:G7)</f>
        <v>1045923.4</v>
      </c>
    </row>
    <row r="9" spans="2:7" ht="25" customHeight="1" thickTop="1"/>
    <row r="10" spans="2:7" ht="25" customHeight="1" thickBot="1"/>
    <row r="11" spans="2:7" ht="25" customHeight="1" thickTop="1">
      <c r="B11" s="101" t="s">
        <v>52</v>
      </c>
      <c r="C11" s="166">
        <f>درامد!E8</f>
        <v>5521716000</v>
      </c>
      <c r="D11" s="167"/>
    </row>
    <row r="12" spans="2:7" ht="25" customHeight="1" thickBot="1">
      <c r="B12" s="5" t="s">
        <v>53</v>
      </c>
      <c r="C12" s="168">
        <f>منابع!D4</f>
        <v>3914000000</v>
      </c>
      <c r="D12" s="169"/>
    </row>
    <row r="13" spans="2:7" ht="25" customHeight="1" thickTop="1" thickBot="1"/>
    <row r="14" spans="2:7" ht="25" customHeight="1" thickTop="1">
      <c r="B14" s="101"/>
      <c r="C14" s="103" t="s">
        <v>55</v>
      </c>
      <c r="D14" s="103" t="s">
        <v>56</v>
      </c>
      <c r="E14" s="103" t="s">
        <v>57</v>
      </c>
      <c r="F14" s="103" t="s">
        <v>58</v>
      </c>
      <c r="G14" s="104" t="s">
        <v>59</v>
      </c>
    </row>
    <row r="15" spans="2:7" ht="25" customHeight="1">
      <c r="B15" s="102" t="s">
        <v>54</v>
      </c>
      <c r="C15" s="97">
        <f>'دستگاه 1'!C4</f>
        <v>455318</v>
      </c>
      <c r="D15" s="97">
        <f>'دستگاه 2'!C4</f>
        <v>206229</v>
      </c>
      <c r="E15" s="97">
        <f>دستگاه3!C4</f>
        <v>384377</v>
      </c>
      <c r="F15" s="97">
        <f>دستگاه4!C4</f>
        <v>0</v>
      </c>
      <c r="G15" s="98">
        <f>'دستگاه 5'!C4</f>
        <v>0</v>
      </c>
    </row>
    <row r="16" spans="2:7" ht="25" customHeight="1">
      <c r="B16" s="102" t="s">
        <v>60</v>
      </c>
      <c r="C16" s="97">
        <f>'دستگاه 1'!C3</f>
        <v>25</v>
      </c>
      <c r="D16" s="97">
        <f>'دستگاه 2'!C3</f>
        <v>26</v>
      </c>
      <c r="E16" s="97">
        <f>دستگاه3!C3</f>
        <v>27</v>
      </c>
      <c r="F16" s="97">
        <f>دستگاه4!C3</f>
        <v>0</v>
      </c>
      <c r="G16" s="98">
        <f>'دستگاه 5'!C3</f>
        <v>0</v>
      </c>
    </row>
    <row r="17" spans="2:7" ht="25" customHeight="1" thickBot="1">
      <c r="B17" s="5" t="s">
        <v>61</v>
      </c>
      <c r="C17" s="99">
        <f>C15/C16</f>
        <v>18212.72</v>
      </c>
      <c r="D17" s="99">
        <f t="shared" ref="D17:G17" si="1">D15/D16</f>
        <v>7931.8846153846152</v>
      </c>
      <c r="E17" s="99">
        <f t="shared" si="1"/>
        <v>14236.185185185184</v>
      </c>
      <c r="F17" s="99" t="e">
        <f t="shared" si="1"/>
        <v>#DIV/0!</v>
      </c>
      <c r="G17" s="100" t="e">
        <f t="shared" si="1"/>
        <v>#DIV/0!</v>
      </c>
    </row>
    <row r="18" spans="2:7" ht="25" customHeight="1" thickTop="1"/>
  </sheetData>
  <mergeCells count="2">
    <mergeCell ref="C11:D11"/>
    <mergeCell ref="C12:D1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E682-4494-4A25-8397-E061A11523C1}">
  <dimension ref="B2:H17"/>
  <sheetViews>
    <sheetView rightToLeft="1" workbookViewId="0">
      <selection activeCell="D12" sqref="D12:D13"/>
    </sheetView>
  </sheetViews>
  <sheetFormatPr defaultColWidth="28" defaultRowHeight="25" customHeight="1"/>
  <cols>
    <col min="1" max="1" width="8.7265625" customWidth="1"/>
    <col min="2" max="2" width="40.7265625" customWidth="1"/>
    <col min="3" max="4" width="16.54296875" customWidth="1"/>
    <col min="5" max="5" width="17.81640625" customWidth="1"/>
    <col min="7" max="7" width="40.7265625" customWidth="1"/>
  </cols>
  <sheetData>
    <row r="2" spans="2:8" ht="25" customHeight="1" thickBot="1"/>
    <row r="3" spans="2:8" ht="25" customHeight="1" thickTop="1">
      <c r="B3" s="8" t="s">
        <v>0</v>
      </c>
      <c r="C3" s="11">
        <f>'دستگاه 1'!C3+'دستگاه 2'!C3+دستگاه3!C3+دستگاه4!C3+'دستگاه 5'!C3</f>
        <v>78</v>
      </c>
      <c r="D3" s="11">
        <f>'دستگاه 1'!D3+'دستگاه 2'!D3+دستگاه3!D3+دستگاه4!D3+'دستگاه 5'!D3</f>
        <v>0</v>
      </c>
      <c r="E3" s="12">
        <f>'دستگاه 1'!E3+'دستگاه 2'!E3+دستگاه3!E3+دستگاه4!E3+'دستگاه 5'!E3</f>
        <v>0</v>
      </c>
      <c r="G3" s="41" t="s">
        <v>24</v>
      </c>
      <c r="H3" s="12">
        <v>16000</v>
      </c>
    </row>
    <row r="4" spans="2:8" ht="25" customHeight="1">
      <c r="B4" s="9" t="s">
        <v>3</v>
      </c>
      <c r="C4" s="37">
        <f>'دستگاه 1'!C4+'دستگاه 2'!C4+دستگاه3!C4+دستگاه4!C4+'دستگاه 5'!C4</f>
        <v>1045924</v>
      </c>
      <c r="D4" s="13">
        <f>'دستگاه 1'!D4+'دستگاه 2'!D4+دستگاه3!D4+دستگاه4!D4+'دستگاه 5'!D4</f>
        <v>0</v>
      </c>
      <c r="E4" s="14">
        <f>'دستگاه 1'!E4+'دستگاه 2'!E4+دستگاه3!E4+دستگاه4!E4+'دستگاه 5'!E4</f>
        <v>0</v>
      </c>
      <c r="G4" s="42" t="s">
        <v>45</v>
      </c>
      <c r="H4" s="14">
        <v>120</v>
      </c>
    </row>
    <row r="5" spans="2:8" ht="25" customHeight="1">
      <c r="B5" s="9" t="s">
        <v>4</v>
      </c>
      <c r="C5" s="13">
        <f>'دستگاه 1'!C5+'دستگاه 2'!C5+دستگاه3!C5+دستگاه4!C5+'دستگاه 5'!C5</f>
        <v>4.8499999999999996</v>
      </c>
      <c r="D5" s="13">
        <f>'دستگاه 1'!D5+'دستگاه 2'!D5+دستگاه3!D5+دستگاه4!D5+'دستگاه 5'!D5</f>
        <v>0</v>
      </c>
      <c r="E5" s="14">
        <f>'دستگاه 1'!E5+'دستگاه 2'!E5+دستگاه3!E5+دستگاه4!E5+'دستگاه 5'!E5</f>
        <v>0</v>
      </c>
      <c r="G5" s="42" t="s">
        <v>47</v>
      </c>
      <c r="H5" s="14">
        <v>8</v>
      </c>
    </row>
    <row r="6" spans="2:8" ht="25" customHeight="1" thickBot="1">
      <c r="B6" s="9" t="s">
        <v>6</v>
      </c>
      <c r="C6" s="13">
        <f>'دستگاه 1'!C7+'دستگاه 2'!C7+دستگاه3!C7+دستگاه4!C7+'دستگاه 5'!C7</f>
        <v>0</v>
      </c>
      <c r="D6" s="13">
        <f>'دستگاه 1'!D7+'دستگاه 2'!D7+دستگاه3!D7+دستگاه4!D7+'دستگاه 5'!D7</f>
        <v>0</v>
      </c>
      <c r="E6" s="14">
        <f>'دستگاه 1'!E7+'دستگاه 2'!E7+دستگاه3!E7+دستگاه4!E7+'دستگاه 5'!E7</f>
        <v>0</v>
      </c>
      <c r="G6" s="30" t="s">
        <v>48</v>
      </c>
      <c r="H6" s="16">
        <v>33</v>
      </c>
    </row>
    <row r="7" spans="2:8" ht="25" customHeight="1" thickTop="1">
      <c r="B7" s="9" t="s">
        <v>7</v>
      </c>
      <c r="C7" s="13">
        <f>'دستگاه 1'!C8+'دستگاه 2'!C8+دستگاه3!C8+دستگاه4!C8+'دستگاه 5'!C8</f>
        <v>61</v>
      </c>
      <c r="D7" s="13">
        <f>'دستگاه 1'!D8+'دستگاه 2'!D8+دستگاه3!D8+دستگاه4!D8+'دستگاه 5'!D8</f>
        <v>0</v>
      </c>
      <c r="E7" s="14">
        <f>'دستگاه 1'!E8+'دستگاه 2'!E8+دستگاه3!E8+دستگاه4!E8+'دستگاه 5'!E8</f>
        <v>0</v>
      </c>
      <c r="G7" s="17"/>
      <c r="H7" s="17"/>
    </row>
    <row r="8" spans="2:8" ht="25" customHeight="1">
      <c r="B8" s="9" t="s">
        <v>8</v>
      </c>
      <c r="C8" s="13">
        <f>'دستگاه 1'!C9+'دستگاه 2'!C9+دستگاه3!C9+دستگاه4!C9+'دستگاه 5'!C9</f>
        <v>0.5</v>
      </c>
      <c r="D8" s="13">
        <f>'دستگاه 1'!D9+'دستگاه 2'!D9+دستگاه3!D9+دستگاه4!D9+'دستگاه 5'!D9</f>
        <v>0</v>
      </c>
      <c r="E8" s="14">
        <f>'دستگاه 1'!E9+'دستگاه 2'!E9+دستگاه3!E9+دستگاه4!E9+'دستگاه 5'!E9</f>
        <v>0</v>
      </c>
      <c r="G8" s="17"/>
      <c r="H8" s="17"/>
    </row>
    <row r="9" spans="2:8" ht="25" customHeight="1">
      <c r="B9" s="9" t="s">
        <v>9</v>
      </c>
      <c r="C9" s="13">
        <f>'دستگاه 1'!C10+'دستگاه 2'!C10+دستگاه3!C10+دستگاه4!C10+'دستگاه 5'!C10</f>
        <v>1</v>
      </c>
      <c r="D9" s="13">
        <f>'دستگاه 1'!D10+'دستگاه 2'!D10+دستگاه3!D10+دستگاه4!D10+'دستگاه 5'!D10</f>
        <v>0</v>
      </c>
      <c r="E9" s="14">
        <f>'دستگاه 1'!E10+'دستگاه 2'!E10+دستگاه3!E10+دستگاه4!E10+'دستگاه 5'!E10</f>
        <v>0</v>
      </c>
      <c r="G9" s="17"/>
      <c r="H9" s="17"/>
    </row>
    <row r="10" spans="2:8" ht="25" customHeight="1" thickBot="1">
      <c r="B10" s="10"/>
      <c r="C10" s="6"/>
      <c r="D10" s="6"/>
      <c r="E10" s="7"/>
      <c r="G10" s="17"/>
      <c r="H10" s="17"/>
    </row>
    <row r="11" spans="2:8" ht="25" customHeight="1" thickTop="1" thickBot="1"/>
    <row r="12" spans="2:8" ht="25" customHeight="1" thickTop="1">
      <c r="B12" s="19" t="s">
        <v>29</v>
      </c>
      <c r="C12" s="20">
        <v>1000000</v>
      </c>
      <c r="D12" s="170">
        <f>C12-C13</f>
        <v>10000</v>
      </c>
      <c r="E12" s="21"/>
    </row>
    <row r="13" spans="2:8" ht="25" customHeight="1">
      <c r="B13" s="22" t="s">
        <v>30</v>
      </c>
      <c r="C13" s="23">
        <v>990000</v>
      </c>
      <c r="D13" s="171"/>
      <c r="E13" s="24"/>
    </row>
    <row r="14" spans="2:8" ht="25" customHeight="1">
      <c r="B14" s="22"/>
      <c r="C14" s="23"/>
      <c r="D14" s="23"/>
      <c r="E14" s="24"/>
    </row>
    <row r="15" spans="2:8" ht="25" customHeight="1">
      <c r="B15" s="22" t="s">
        <v>31</v>
      </c>
      <c r="C15" s="23">
        <v>1000000</v>
      </c>
      <c r="D15" s="171">
        <f>C15-C16</f>
        <v>10000</v>
      </c>
      <c r="E15" s="24"/>
    </row>
    <row r="16" spans="2:8" ht="25" customHeight="1" thickBot="1">
      <c r="B16" s="25" t="s">
        <v>32</v>
      </c>
      <c r="C16" s="26">
        <v>990000</v>
      </c>
      <c r="D16" s="172"/>
      <c r="E16" s="27"/>
    </row>
    <row r="17" ht="25" customHeight="1" thickTop="1"/>
  </sheetData>
  <mergeCells count="2">
    <mergeCell ref="D12:D13"/>
    <mergeCell ref="D15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داشبورد</vt:lpstr>
      <vt:lpstr>KPI</vt:lpstr>
      <vt:lpstr>ورودی</vt:lpstr>
      <vt:lpstr>دستگاه 1</vt:lpstr>
      <vt:lpstr>دستگاه 2</vt:lpstr>
      <vt:lpstr>دستگاه3</vt:lpstr>
      <vt:lpstr>دستگاه4</vt:lpstr>
      <vt:lpstr>دستگاه 5</vt:lpstr>
      <vt:lpstr>چاپ</vt:lpstr>
      <vt:lpstr>منابع</vt:lpstr>
      <vt:lpstr>درامد</vt:lpstr>
      <vt:lpstr>مجموع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A.S.CO</dc:creator>
  <cp:lastModifiedBy>Mehdi Seifi</cp:lastModifiedBy>
  <dcterms:created xsi:type="dcterms:W3CDTF">2026-04-06T07:10:37Z</dcterms:created>
  <dcterms:modified xsi:type="dcterms:W3CDTF">2026-07-27T07:20:25Z</dcterms:modified>
</cp:coreProperties>
</file>